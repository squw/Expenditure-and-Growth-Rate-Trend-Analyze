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28950\Documents\uWaterloo\ECON 102\Assignment 1\"/>
    </mc:Choice>
  </mc:AlternateContent>
  <xr:revisionPtr revIDLastSave="0" documentId="13_ncr:1_{3E75A288-5849-4CC4-ADEF-8316781DF370}" xr6:coauthVersionLast="47" xr6:coauthVersionMax="47" xr10:uidLastSave="{00000000-0000-0000-0000-000000000000}"/>
  <bookViews>
    <workbookView xWindow="17680" yWindow="10400" windowWidth="28800" windowHeight="15910" activeTab="4" xr2:uid="{00000000-000D-0000-FFFF-FFFF00000000}"/>
  </bookViews>
  <sheets>
    <sheet name="dat69" sheetId="4" r:id="rId1"/>
    <sheet name="dat80" sheetId="2" r:id="rId2"/>
    <sheet name="Part A" sheetId="1" r:id="rId3"/>
    <sheet name="Part B" sheetId="3" r:id="rId4"/>
    <sheet name="Part C" sheetId="5" r:id="rId5"/>
  </sheets>
  <definedNames>
    <definedName name="ExternalData_1" localSheetId="1" hidden="1">'dat80'!$A$1:$F$285</definedName>
    <definedName name="ExternalData_2" localSheetId="0" hidden="1">'dat69'!$A$1:$F$285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4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C2" i="4"/>
  <c r="D2" i="4" s="1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60" i="4"/>
  <c r="D60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97" i="4"/>
  <c r="D97" i="4" s="1"/>
  <c r="C98" i="4"/>
  <c r="D98" i="4" s="1"/>
  <c r="C99" i="4"/>
  <c r="D99" i="4" s="1"/>
  <c r="C100" i="4"/>
  <c r="D100" i="4" s="1"/>
  <c r="C101" i="4"/>
  <c r="D101" i="4" s="1"/>
  <c r="C102" i="4"/>
  <c r="D102" i="4" s="1"/>
  <c r="C103" i="4"/>
  <c r="D103" i="4" s="1"/>
  <c r="C104" i="4"/>
  <c r="D104" i="4" s="1"/>
  <c r="C105" i="4"/>
  <c r="D105" i="4" s="1"/>
  <c r="C106" i="4"/>
  <c r="D106" i="4" s="1"/>
  <c r="C107" i="4"/>
  <c r="D107" i="4" s="1"/>
  <c r="C108" i="4"/>
  <c r="D108" i="4" s="1"/>
  <c r="C109" i="4"/>
  <c r="D109" i="4" s="1"/>
  <c r="C110" i="4"/>
  <c r="D110" i="4" s="1"/>
  <c r="C111" i="4"/>
  <c r="D111" i="4" s="1"/>
  <c r="C112" i="4"/>
  <c r="D112" i="4" s="1"/>
  <c r="C113" i="4"/>
  <c r="D113" i="4" s="1"/>
  <c r="C114" i="4"/>
  <c r="D114" i="4" s="1"/>
  <c r="C115" i="4"/>
  <c r="D115" i="4" s="1"/>
  <c r="C116" i="4"/>
  <c r="D116" i="4" s="1"/>
  <c r="C117" i="4"/>
  <c r="D117" i="4" s="1"/>
  <c r="C118" i="4"/>
  <c r="D118" i="4" s="1"/>
  <c r="C119" i="4"/>
  <c r="D119" i="4" s="1"/>
  <c r="C120" i="4"/>
  <c r="D120" i="4" s="1"/>
  <c r="C121" i="4"/>
  <c r="D121" i="4" s="1"/>
  <c r="C122" i="4"/>
  <c r="D122" i="4" s="1"/>
  <c r="C123" i="4"/>
  <c r="D123" i="4" s="1"/>
  <c r="C124" i="4"/>
  <c r="D124" i="4" s="1"/>
  <c r="C125" i="4"/>
  <c r="D125" i="4" s="1"/>
  <c r="C126" i="4"/>
  <c r="D126" i="4" s="1"/>
  <c r="C127" i="4"/>
  <c r="D127" i="4" s="1"/>
  <c r="C128" i="4"/>
  <c r="D128" i="4" s="1"/>
  <c r="C129" i="4"/>
  <c r="D129" i="4" s="1"/>
  <c r="C130" i="4"/>
  <c r="D130" i="4" s="1"/>
  <c r="C131" i="4"/>
  <c r="D131" i="4" s="1"/>
  <c r="C132" i="4"/>
  <c r="D132" i="4" s="1"/>
  <c r="C133" i="4"/>
  <c r="D133" i="4" s="1"/>
  <c r="C134" i="4"/>
  <c r="D134" i="4" s="1"/>
  <c r="C135" i="4"/>
  <c r="D135" i="4" s="1"/>
  <c r="C136" i="4"/>
  <c r="D136" i="4" s="1"/>
  <c r="C137" i="4"/>
  <c r="D137" i="4" s="1"/>
  <c r="C138" i="4"/>
  <c r="D138" i="4" s="1"/>
  <c r="C139" i="4"/>
  <c r="D139" i="4" s="1"/>
  <c r="C140" i="4"/>
  <c r="D140" i="4" s="1"/>
  <c r="C141" i="4"/>
  <c r="D141" i="4" s="1"/>
  <c r="C142" i="4"/>
  <c r="D142" i="4" s="1"/>
  <c r="C143" i="4"/>
  <c r="D143" i="4" s="1"/>
  <c r="C144" i="4"/>
  <c r="D144" i="4" s="1"/>
  <c r="C145" i="4"/>
  <c r="D145" i="4" s="1"/>
  <c r="C146" i="4"/>
  <c r="D146" i="4" s="1"/>
  <c r="C147" i="4"/>
  <c r="D147" i="4" s="1"/>
  <c r="C148" i="4"/>
  <c r="D148" i="4" s="1"/>
  <c r="C149" i="4"/>
  <c r="D149" i="4" s="1"/>
  <c r="C150" i="4"/>
  <c r="D150" i="4" s="1"/>
  <c r="C151" i="4"/>
  <c r="D151" i="4" s="1"/>
  <c r="C152" i="4"/>
  <c r="D152" i="4" s="1"/>
  <c r="C153" i="4"/>
  <c r="D153" i="4" s="1"/>
  <c r="C154" i="4"/>
  <c r="D154" i="4" s="1"/>
  <c r="C155" i="4"/>
  <c r="D155" i="4" s="1"/>
  <c r="C156" i="4"/>
  <c r="D156" i="4" s="1"/>
  <c r="C157" i="4"/>
  <c r="D157" i="4" s="1"/>
  <c r="C158" i="4"/>
  <c r="D158" i="4" s="1"/>
  <c r="C159" i="4"/>
  <c r="D159" i="4" s="1"/>
  <c r="C160" i="4"/>
  <c r="D160" i="4" s="1"/>
  <c r="C161" i="4"/>
  <c r="D161" i="4" s="1"/>
  <c r="C162" i="4"/>
  <c r="D162" i="4" s="1"/>
  <c r="C163" i="4"/>
  <c r="D163" i="4" s="1"/>
  <c r="C164" i="4"/>
  <c r="D164" i="4" s="1"/>
  <c r="C165" i="4"/>
  <c r="D165" i="4" s="1"/>
  <c r="C166" i="4"/>
  <c r="D166" i="4" s="1"/>
  <c r="C167" i="4"/>
  <c r="D167" i="4" s="1"/>
  <c r="C168" i="4"/>
  <c r="D168" i="4" s="1"/>
  <c r="C169" i="4"/>
  <c r="D169" i="4" s="1"/>
  <c r="C170" i="4"/>
  <c r="D170" i="4" s="1"/>
  <c r="C171" i="4"/>
  <c r="D171" i="4" s="1"/>
  <c r="C172" i="4"/>
  <c r="D172" i="4" s="1"/>
  <c r="C173" i="4"/>
  <c r="D173" i="4" s="1"/>
  <c r="C174" i="4"/>
  <c r="D174" i="4" s="1"/>
  <c r="C175" i="4"/>
  <c r="D175" i="4" s="1"/>
  <c r="C176" i="4"/>
  <c r="D176" i="4" s="1"/>
  <c r="C177" i="4"/>
  <c r="D177" i="4" s="1"/>
  <c r="C178" i="4"/>
  <c r="D178" i="4" s="1"/>
  <c r="C179" i="4"/>
  <c r="D179" i="4" s="1"/>
  <c r="C180" i="4"/>
  <c r="D180" i="4" s="1"/>
  <c r="C181" i="4"/>
  <c r="D181" i="4" s="1"/>
  <c r="C182" i="4"/>
  <c r="D182" i="4" s="1"/>
  <c r="C183" i="4"/>
  <c r="D183" i="4" s="1"/>
  <c r="C184" i="4"/>
  <c r="D184" i="4" s="1"/>
  <c r="C185" i="4"/>
  <c r="D185" i="4" s="1"/>
  <c r="C186" i="4"/>
  <c r="D186" i="4" s="1"/>
  <c r="C187" i="4"/>
  <c r="D187" i="4" s="1"/>
  <c r="C188" i="4"/>
  <c r="D188" i="4" s="1"/>
  <c r="C189" i="4"/>
  <c r="D189" i="4" s="1"/>
  <c r="C190" i="4"/>
  <c r="D190" i="4" s="1"/>
  <c r="C191" i="4"/>
  <c r="D191" i="4" s="1"/>
  <c r="C192" i="4"/>
  <c r="D192" i="4" s="1"/>
  <c r="C193" i="4"/>
  <c r="D193" i="4" s="1"/>
  <c r="C194" i="4"/>
  <c r="D194" i="4" s="1"/>
  <c r="C195" i="4"/>
  <c r="D195" i="4" s="1"/>
  <c r="C196" i="4"/>
  <c r="D196" i="4" s="1"/>
  <c r="C197" i="4"/>
  <c r="D197" i="4" s="1"/>
  <c r="C198" i="4"/>
  <c r="D198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D204" i="4" s="1"/>
  <c r="C205" i="4"/>
  <c r="D205" i="4" s="1"/>
  <c r="C206" i="4"/>
  <c r="D206" i="4" s="1"/>
  <c r="C207" i="4"/>
  <c r="D207" i="4" s="1"/>
  <c r="C208" i="4"/>
  <c r="D208" i="4" s="1"/>
  <c r="C209" i="4"/>
  <c r="D209" i="4" s="1"/>
  <c r="C210" i="4"/>
  <c r="D210" i="4" s="1"/>
  <c r="C211" i="4"/>
  <c r="D211" i="4" s="1"/>
  <c r="C212" i="4"/>
  <c r="D212" i="4" s="1"/>
  <c r="C213" i="4"/>
  <c r="D213" i="4" s="1"/>
  <c r="C214" i="4"/>
  <c r="D214" i="4" s="1"/>
  <c r="C215" i="4"/>
  <c r="D215" i="4" s="1"/>
  <c r="C216" i="4"/>
  <c r="D216" i="4" s="1"/>
  <c r="C217" i="4"/>
  <c r="D217" i="4" s="1"/>
  <c r="C218" i="4"/>
  <c r="D218" i="4" s="1"/>
  <c r="C219" i="4"/>
  <c r="D219" i="4" s="1"/>
  <c r="C220" i="4"/>
  <c r="D220" i="4" s="1"/>
  <c r="C221" i="4"/>
  <c r="D221" i="4" s="1"/>
  <c r="C222" i="4"/>
  <c r="D222" i="4" s="1"/>
  <c r="C223" i="4"/>
  <c r="D223" i="4" s="1"/>
  <c r="C224" i="4"/>
  <c r="D224" i="4" s="1"/>
  <c r="C225" i="4"/>
  <c r="D225" i="4" s="1"/>
  <c r="C226" i="4"/>
  <c r="D226" i="4" s="1"/>
  <c r="C227" i="4"/>
  <c r="D227" i="4" s="1"/>
  <c r="C228" i="4"/>
  <c r="D228" i="4" s="1"/>
  <c r="C229" i="4"/>
  <c r="D229" i="4" s="1"/>
  <c r="C230" i="4"/>
  <c r="D230" i="4" s="1"/>
  <c r="C231" i="4"/>
  <c r="D231" i="4" s="1"/>
  <c r="C232" i="4"/>
  <c r="D232" i="4" s="1"/>
  <c r="C233" i="4"/>
  <c r="D233" i="4" s="1"/>
  <c r="C234" i="4"/>
  <c r="D234" i="4" s="1"/>
  <c r="C235" i="4"/>
  <c r="D235" i="4" s="1"/>
  <c r="C236" i="4"/>
  <c r="D236" i="4" s="1"/>
  <c r="C237" i="4"/>
  <c r="D237" i="4" s="1"/>
  <c r="C238" i="4"/>
  <c r="D238" i="4" s="1"/>
  <c r="C239" i="4"/>
  <c r="D239" i="4" s="1"/>
  <c r="C240" i="4"/>
  <c r="D240" i="4" s="1"/>
  <c r="C241" i="4"/>
  <c r="D241" i="4" s="1"/>
  <c r="C242" i="4"/>
  <c r="D242" i="4" s="1"/>
  <c r="C243" i="4"/>
  <c r="D243" i="4" s="1"/>
  <c r="C244" i="4"/>
  <c r="D244" i="4" s="1"/>
  <c r="C245" i="4"/>
  <c r="D245" i="4" s="1"/>
  <c r="C246" i="4"/>
  <c r="D246" i="4" s="1"/>
  <c r="C247" i="4"/>
  <c r="D247" i="4" s="1"/>
  <c r="C248" i="4"/>
  <c r="D248" i="4" s="1"/>
  <c r="C249" i="4"/>
  <c r="D249" i="4" s="1"/>
  <c r="C250" i="4"/>
  <c r="D250" i="4" s="1"/>
  <c r="C251" i="4"/>
  <c r="D251" i="4" s="1"/>
  <c r="C252" i="4"/>
  <c r="D252" i="4" s="1"/>
  <c r="C253" i="4"/>
  <c r="D253" i="4" s="1"/>
  <c r="C254" i="4"/>
  <c r="D254" i="4" s="1"/>
  <c r="C255" i="4"/>
  <c r="D255" i="4" s="1"/>
  <c r="C256" i="4"/>
  <c r="D256" i="4" s="1"/>
  <c r="C257" i="4"/>
  <c r="D257" i="4" s="1"/>
  <c r="C258" i="4"/>
  <c r="D258" i="4" s="1"/>
  <c r="C259" i="4"/>
  <c r="D259" i="4" s="1"/>
  <c r="C260" i="4"/>
  <c r="D260" i="4" s="1"/>
  <c r="C261" i="4"/>
  <c r="D261" i="4" s="1"/>
  <c r="C262" i="4"/>
  <c r="D262" i="4" s="1"/>
  <c r="C263" i="4"/>
  <c r="D263" i="4" s="1"/>
  <c r="C264" i="4"/>
  <c r="D264" i="4" s="1"/>
  <c r="C265" i="4"/>
  <c r="D265" i="4" s="1"/>
  <c r="C266" i="4"/>
  <c r="D266" i="4" s="1"/>
  <c r="C267" i="4"/>
  <c r="D267" i="4" s="1"/>
  <c r="C268" i="4"/>
  <c r="D268" i="4" s="1"/>
  <c r="C269" i="4"/>
  <c r="D269" i="4" s="1"/>
  <c r="C270" i="4"/>
  <c r="D270" i="4" s="1"/>
  <c r="C271" i="4"/>
  <c r="D271" i="4" s="1"/>
  <c r="C272" i="4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D278" i="4" s="1"/>
  <c r="C279" i="4"/>
  <c r="D279" i="4" s="1"/>
  <c r="C280" i="4"/>
  <c r="D280" i="4" s="1"/>
  <c r="C281" i="4"/>
  <c r="D281" i="4" s="1"/>
  <c r="C282" i="4"/>
  <c r="D282" i="4" s="1"/>
  <c r="C283" i="4"/>
  <c r="D283" i="4" s="1"/>
  <c r="C284" i="4"/>
  <c r="D284" i="4" s="1"/>
  <c r="C285" i="4"/>
  <c r="D285" i="4" s="1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J149" i="4" l="1"/>
  <c r="J212" i="4"/>
  <c r="J60" i="4"/>
  <c r="J179" i="4"/>
  <c r="J282" i="4"/>
  <c r="J26" i="4"/>
  <c r="I285" i="4"/>
  <c r="J285" i="4" s="1"/>
  <c r="I277" i="4"/>
  <c r="J277" i="4" s="1"/>
  <c r="I269" i="4"/>
  <c r="J269" i="4" s="1"/>
  <c r="I261" i="4"/>
  <c r="J261" i="4" s="1"/>
  <c r="I253" i="4"/>
  <c r="J253" i="4" s="1"/>
  <c r="I245" i="4"/>
  <c r="J245" i="4" s="1"/>
  <c r="I237" i="4"/>
  <c r="J237" i="4" s="1"/>
  <c r="I229" i="4"/>
  <c r="J229" i="4" s="1"/>
  <c r="I221" i="4"/>
  <c r="J221" i="4" s="1"/>
  <c r="I213" i="4"/>
  <c r="J213" i="4" s="1"/>
  <c r="I205" i="4"/>
  <c r="J205" i="4" s="1"/>
  <c r="I197" i="4"/>
  <c r="J197" i="4" s="1"/>
  <c r="I189" i="4"/>
  <c r="J189" i="4" s="1"/>
  <c r="I181" i="4"/>
  <c r="J181" i="4" s="1"/>
  <c r="I173" i="4"/>
  <c r="J173" i="4" s="1"/>
  <c r="I165" i="4"/>
  <c r="J165" i="4" s="1"/>
  <c r="I157" i="4"/>
  <c r="J157" i="4" s="1"/>
  <c r="I149" i="4"/>
  <c r="I141" i="4"/>
  <c r="J141" i="4" s="1"/>
  <c r="I133" i="4"/>
  <c r="J133" i="4" s="1"/>
  <c r="I125" i="4"/>
  <c r="J125" i="4" s="1"/>
  <c r="I117" i="4"/>
  <c r="J117" i="4" s="1"/>
  <c r="I109" i="4"/>
  <c r="J109" i="4" s="1"/>
  <c r="I101" i="4"/>
  <c r="J101" i="4" s="1"/>
  <c r="I93" i="4"/>
  <c r="J93" i="4" s="1"/>
  <c r="I85" i="4"/>
  <c r="J85" i="4" s="1"/>
  <c r="I77" i="4"/>
  <c r="J77" i="4" s="1"/>
  <c r="I69" i="4"/>
  <c r="J69" i="4" s="1"/>
  <c r="I61" i="4"/>
  <c r="J61" i="4" s="1"/>
  <c r="I53" i="4"/>
  <c r="J53" i="4" s="1"/>
  <c r="I45" i="4"/>
  <c r="J45" i="4" s="1"/>
  <c r="I37" i="4"/>
  <c r="J37" i="4" s="1"/>
  <c r="I29" i="4"/>
  <c r="J29" i="4" s="1"/>
  <c r="I21" i="4"/>
  <c r="J21" i="4" s="1"/>
  <c r="I13" i="4"/>
  <c r="J13" i="4" s="1"/>
  <c r="I5" i="4"/>
  <c r="J5" i="4" s="1"/>
  <c r="H281" i="4"/>
  <c r="H273" i="4"/>
  <c r="H265" i="4"/>
  <c r="H257" i="4"/>
  <c r="H249" i="4"/>
  <c r="H241" i="4"/>
  <c r="H233" i="4"/>
  <c r="H225" i="4"/>
  <c r="H217" i="4"/>
  <c r="H209" i="4"/>
  <c r="H201" i="4"/>
  <c r="H193" i="4"/>
  <c r="H185" i="4"/>
  <c r="H177" i="4"/>
  <c r="H169" i="4"/>
  <c r="H161" i="4"/>
  <c r="H153" i="4"/>
  <c r="H145" i="4"/>
  <c r="H137" i="4"/>
  <c r="H129" i="4"/>
  <c r="H121" i="4"/>
  <c r="H113" i="4"/>
  <c r="H105" i="4"/>
  <c r="H97" i="4"/>
  <c r="H89" i="4"/>
  <c r="H81" i="4"/>
  <c r="H73" i="4"/>
  <c r="H65" i="4"/>
  <c r="H57" i="4"/>
  <c r="H49" i="4"/>
  <c r="H40" i="4"/>
  <c r="H32" i="4"/>
  <c r="H24" i="4"/>
  <c r="H16" i="4"/>
  <c r="H8" i="4"/>
  <c r="I284" i="4"/>
  <c r="J284" i="4" s="1"/>
  <c r="I276" i="4"/>
  <c r="J276" i="4" s="1"/>
  <c r="I268" i="4"/>
  <c r="J268" i="4" s="1"/>
  <c r="I260" i="4"/>
  <c r="J260" i="4" s="1"/>
  <c r="I252" i="4"/>
  <c r="J252" i="4" s="1"/>
  <c r="I244" i="4"/>
  <c r="J244" i="4" s="1"/>
  <c r="I236" i="4"/>
  <c r="J236" i="4" s="1"/>
  <c r="I228" i="4"/>
  <c r="J228" i="4" s="1"/>
  <c r="I220" i="4"/>
  <c r="J220" i="4" s="1"/>
  <c r="I212" i="4"/>
  <c r="I204" i="4"/>
  <c r="J204" i="4" s="1"/>
  <c r="I196" i="4"/>
  <c r="J196" i="4" s="1"/>
  <c r="I188" i="4"/>
  <c r="J188" i="4" s="1"/>
  <c r="I180" i="4"/>
  <c r="J180" i="4" s="1"/>
  <c r="I172" i="4"/>
  <c r="J172" i="4" s="1"/>
  <c r="I164" i="4"/>
  <c r="J164" i="4" s="1"/>
  <c r="I156" i="4"/>
  <c r="J156" i="4" s="1"/>
  <c r="I148" i="4"/>
  <c r="J148" i="4" s="1"/>
  <c r="I140" i="4"/>
  <c r="J140" i="4" s="1"/>
  <c r="I132" i="4"/>
  <c r="J132" i="4" s="1"/>
  <c r="I124" i="4"/>
  <c r="J124" i="4" s="1"/>
  <c r="I116" i="4"/>
  <c r="J116" i="4" s="1"/>
  <c r="I108" i="4"/>
  <c r="J108" i="4" s="1"/>
  <c r="I100" i="4"/>
  <c r="J100" i="4" s="1"/>
  <c r="I92" i="4"/>
  <c r="J92" i="4" s="1"/>
  <c r="I84" i="4"/>
  <c r="J84" i="4" s="1"/>
  <c r="I76" i="4"/>
  <c r="J76" i="4" s="1"/>
  <c r="I68" i="4"/>
  <c r="J68" i="4" s="1"/>
  <c r="I60" i="4"/>
  <c r="I52" i="4"/>
  <c r="J52" i="4" s="1"/>
  <c r="I44" i="4"/>
  <c r="J44" i="4" s="1"/>
  <c r="I36" i="4"/>
  <c r="J36" i="4" s="1"/>
  <c r="I28" i="4"/>
  <c r="J28" i="4" s="1"/>
  <c r="I20" i="4"/>
  <c r="J20" i="4" s="1"/>
  <c r="I12" i="4"/>
  <c r="J12" i="4" s="1"/>
  <c r="I4" i="4"/>
  <c r="J4" i="4" s="1"/>
  <c r="H280" i="4"/>
  <c r="H272" i="4"/>
  <c r="H264" i="4"/>
  <c r="H256" i="4"/>
  <c r="H248" i="4"/>
  <c r="H240" i="4"/>
  <c r="H232" i="4"/>
  <c r="H224" i="4"/>
  <c r="H216" i="4"/>
  <c r="H208" i="4"/>
  <c r="H200" i="4"/>
  <c r="H192" i="4"/>
  <c r="H184" i="4"/>
  <c r="H176" i="4"/>
  <c r="H168" i="4"/>
  <c r="H160" i="4"/>
  <c r="H152" i="4"/>
  <c r="H144" i="4"/>
  <c r="H136" i="4"/>
  <c r="H128" i="4"/>
  <c r="H120" i="4"/>
  <c r="H112" i="4"/>
  <c r="H104" i="4"/>
  <c r="H96" i="4"/>
  <c r="H88" i="4"/>
  <c r="H80" i="4"/>
  <c r="H72" i="4"/>
  <c r="H64" i="4"/>
  <c r="H56" i="4"/>
  <c r="H48" i="4"/>
  <c r="H39" i="4"/>
  <c r="H31" i="4"/>
  <c r="H23" i="4"/>
  <c r="H15" i="4"/>
  <c r="H7" i="4"/>
  <c r="I283" i="4"/>
  <c r="J283" i="4" s="1"/>
  <c r="I275" i="4"/>
  <c r="J275" i="4" s="1"/>
  <c r="I267" i="4"/>
  <c r="J267" i="4" s="1"/>
  <c r="I259" i="4"/>
  <c r="J259" i="4" s="1"/>
  <c r="I251" i="4"/>
  <c r="J251" i="4" s="1"/>
  <c r="I243" i="4"/>
  <c r="J243" i="4" s="1"/>
  <c r="I235" i="4"/>
  <c r="J235" i="4" s="1"/>
  <c r="I227" i="4"/>
  <c r="J227" i="4" s="1"/>
  <c r="I219" i="4"/>
  <c r="J219" i="4" s="1"/>
  <c r="I211" i="4"/>
  <c r="J211" i="4" s="1"/>
  <c r="I203" i="4"/>
  <c r="J203" i="4" s="1"/>
  <c r="I195" i="4"/>
  <c r="J195" i="4" s="1"/>
  <c r="I187" i="4"/>
  <c r="J187" i="4" s="1"/>
  <c r="I179" i="4"/>
  <c r="I171" i="4"/>
  <c r="J171" i="4" s="1"/>
  <c r="I163" i="4"/>
  <c r="J163" i="4" s="1"/>
  <c r="I155" i="4"/>
  <c r="J155" i="4" s="1"/>
  <c r="I147" i="4"/>
  <c r="J147" i="4" s="1"/>
  <c r="I139" i="4"/>
  <c r="J139" i="4" s="1"/>
  <c r="I131" i="4"/>
  <c r="J131" i="4" s="1"/>
  <c r="I123" i="4"/>
  <c r="J123" i="4" s="1"/>
  <c r="I115" i="4"/>
  <c r="J115" i="4" s="1"/>
  <c r="I107" i="4"/>
  <c r="J107" i="4" s="1"/>
  <c r="I99" i="4"/>
  <c r="J99" i="4" s="1"/>
  <c r="I91" i="4"/>
  <c r="J91" i="4" s="1"/>
  <c r="I83" i="4"/>
  <c r="J83" i="4" s="1"/>
  <c r="I75" i="4"/>
  <c r="J75" i="4" s="1"/>
  <c r="I67" i="4"/>
  <c r="J67" i="4" s="1"/>
  <c r="I59" i="4"/>
  <c r="J59" i="4" s="1"/>
  <c r="I51" i="4"/>
  <c r="J51" i="4" s="1"/>
  <c r="I43" i="4"/>
  <c r="J43" i="4" s="1"/>
  <c r="I35" i="4"/>
  <c r="J35" i="4" s="1"/>
  <c r="I27" i="4"/>
  <c r="J27" i="4" s="1"/>
  <c r="I19" i="4"/>
  <c r="J19" i="4" s="1"/>
  <c r="I11" i="4"/>
  <c r="J11" i="4" s="1"/>
  <c r="I3" i="4"/>
  <c r="J3" i="4" s="1"/>
  <c r="H279" i="4"/>
  <c r="H271" i="4"/>
  <c r="H263" i="4"/>
  <c r="H255" i="4"/>
  <c r="H247" i="4"/>
  <c r="H239" i="4"/>
  <c r="H231" i="4"/>
  <c r="H223" i="4"/>
  <c r="H215" i="4"/>
  <c r="H207" i="4"/>
  <c r="H199" i="4"/>
  <c r="H191" i="4"/>
  <c r="H183" i="4"/>
  <c r="H175" i="4"/>
  <c r="H167" i="4"/>
  <c r="H159" i="4"/>
  <c r="H151" i="4"/>
  <c r="H143" i="4"/>
  <c r="H135" i="4"/>
  <c r="H127" i="4"/>
  <c r="H119" i="4"/>
  <c r="H111" i="4"/>
  <c r="H103" i="4"/>
  <c r="H95" i="4"/>
  <c r="H87" i="4"/>
  <c r="H79" i="4"/>
  <c r="H71" i="4"/>
  <c r="H63" i="4"/>
  <c r="H55" i="4"/>
  <c r="H47" i="4"/>
  <c r="H38" i="4"/>
  <c r="H30" i="4"/>
  <c r="H22" i="4"/>
  <c r="H14" i="4"/>
  <c r="H6" i="4"/>
  <c r="I282" i="4"/>
  <c r="I274" i="4"/>
  <c r="J274" i="4" s="1"/>
  <c r="I266" i="4"/>
  <c r="J266" i="4" s="1"/>
  <c r="I258" i="4"/>
  <c r="J258" i="4" s="1"/>
  <c r="I250" i="4"/>
  <c r="J250" i="4" s="1"/>
  <c r="I242" i="4"/>
  <c r="J242" i="4" s="1"/>
  <c r="I234" i="4"/>
  <c r="J234" i="4" s="1"/>
  <c r="I226" i="4"/>
  <c r="J226" i="4" s="1"/>
  <c r="I218" i="4"/>
  <c r="J218" i="4" s="1"/>
  <c r="I210" i="4"/>
  <c r="J210" i="4" s="1"/>
  <c r="I202" i="4"/>
  <c r="J202" i="4" s="1"/>
  <c r="I194" i="4"/>
  <c r="J194" i="4" s="1"/>
  <c r="I186" i="4"/>
  <c r="J186" i="4" s="1"/>
  <c r="I178" i="4"/>
  <c r="J178" i="4" s="1"/>
  <c r="I170" i="4"/>
  <c r="J170" i="4" s="1"/>
  <c r="I162" i="4"/>
  <c r="J162" i="4" s="1"/>
  <c r="I154" i="4"/>
  <c r="J154" i="4" s="1"/>
  <c r="I146" i="4"/>
  <c r="J146" i="4" s="1"/>
  <c r="I138" i="4"/>
  <c r="J138" i="4" s="1"/>
  <c r="I130" i="4"/>
  <c r="J130" i="4" s="1"/>
  <c r="I122" i="4"/>
  <c r="J122" i="4" s="1"/>
  <c r="I114" i="4"/>
  <c r="J114" i="4" s="1"/>
  <c r="I106" i="4"/>
  <c r="J106" i="4" s="1"/>
  <c r="I98" i="4"/>
  <c r="J98" i="4" s="1"/>
  <c r="I90" i="4"/>
  <c r="J90" i="4" s="1"/>
  <c r="I82" i="4"/>
  <c r="J82" i="4" s="1"/>
  <c r="I74" i="4"/>
  <c r="J74" i="4" s="1"/>
  <c r="I66" i="4"/>
  <c r="J66" i="4" s="1"/>
  <c r="I58" i="4"/>
  <c r="J58" i="4" s="1"/>
  <c r="I50" i="4"/>
  <c r="J50" i="4" s="1"/>
  <c r="I42" i="4"/>
  <c r="J42" i="4" s="1"/>
  <c r="I34" i="4"/>
  <c r="J34" i="4" s="1"/>
  <c r="I26" i="4"/>
  <c r="I18" i="4"/>
  <c r="J18" i="4" s="1"/>
  <c r="I10" i="4"/>
  <c r="J10" i="4" s="1"/>
  <c r="I2" i="4"/>
  <c r="J2" i="4" s="1"/>
  <c r="H278" i="4"/>
  <c r="H270" i="4"/>
  <c r="H262" i="4"/>
  <c r="H254" i="4"/>
  <c r="H246" i="4"/>
  <c r="H238" i="4"/>
  <c r="H230" i="4"/>
  <c r="H222" i="4"/>
  <c r="H214" i="4"/>
  <c r="H206" i="4"/>
  <c r="H198" i="4"/>
  <c r="H190" i="4"/>
  <c r="H182" i="4"/>
  <c r="H174" i="4"/>
  <c r="H166" i="4"/>
  <c r="H158" i="4"/>
  <c r="H150" i="4"/>
  <c r="H142" i="4"/>
  <c r="H134" i="4"/>
  <c r="H126" i="4"/>
  <c r="H118" i="4"/>
  <c r="H110" i="4"/>
  <c r="H102" i="4"/>
  <c r="H94" i="4"/>
  <c r="H86" i="4"/>
  <c r="H78" i="4"/>
  <c r="H70" i="4"/>
  <c r="H62" i="4"/>
  <c r="H54" i="4"/>
  <c r="H46" i="4"/>
  <c r="H37" i="4"/>
  <c r="H29" i="4"/>
  <c r="H21" i="4"/>
  <c r="H13" i="4"/>
  <c r="H5" i="4"/>
  <c r="I281" i="4"/>
  <c r="J281" i="4" s="1"/>
  <c r="I273" i="4"/>
  <c r="J273" i="4" s="1"/>
  <c r="I265" i="4"/>
  <c r="J265" i="4" s="1"/>
  <c r="I257" i="4"/>
  <c r="J257" i="4" s="1"/>
  <c r="I249" i="4"/>
  <c r="J249" i="4" s="1"/>
  <c r="I241" i="4"/>
  <c r="J241" i="4" s="1"/>
  <c r="I233" i="4"/>
  <c r="J233" i="4" s="1"/>
  <c r="I225" i="4"/>
  <c r="J225" i="4" s="1"/>
  <c r="I217" i="4"/>
  <c r="J217" i="4" s="1"/>
  <c r="I209" i="4"/>
  <c r="J209" i="4" s="1"/>
  <c r="I201" i="4"/>
  <c r="J201" i="4" s="1"/>
  <c r="I193" i="4"/>
  <c r="J193" i="4" s="1"/>
  <c r="I185" i="4"/>
  <c r="J185" i="4" s="1"/>
  <c r="I177" i="4"/>
  <c r="J177" i="4" s="1"/>
  <c r="I169" i="4"/>
  <c r="J169" i="4" s="1"/>
  <c r="I161" i="4"/>
  <c r="J161" i="4" s="1"/>
  <c r="I153" i="4"/>
  <c r="J153" i="4" s="1"/>
  <c r="I145" i="4"/>
  <c r="J145" i="4" s="1"/>
  <c r="I137" i="4"/>
  <c r="J137" i="4" s="1"/>
  <c r="I129" i="4"/>
  <c r="J129" i="4" s="1"/>
  <c r="I121" i="4"/>
  <c r="J121" i="4" s="1"/>
  <c r="I113" i="4"/>
  <c r="J113" i="4" s="1"/>
  <c r="I105" i="4"/>
  <c r="J105" i="4" s="1"/>
  <c r="I97" i="4"/>
  <c r="J97" i="4" s="1"/>
  <c r="I89" i="4"/>
  <c r="J89" i="4" s="1"/>
  <c r="I81" i="4"/>
  <c r="J81" i="4" s="1"/>
  <c r="I73" i="4"/>
  <c r="J73" i="4" s="1"/>
  <c r="I65" i="4"/>
  <c r="J65" i="4" s="1"/>
  <c r="I57" i="4"/>
  <c r="J57" i="4" s="1"/>
  <c r="I49" i="4"/>
  <c r="J49" i="4" s="1"/>
  <c r="I41" i="4"/>
  <c r="J41" i="4" s="1"/>
  <c r="I33" i="4"/>
  <c r="J33" i="4" s="1"/>
  <c r="I25" i="4"/>
  <c r="J25" i="4" s="1"/>
  <c r="I17" i="4"/>
  <c r="J17" i="4" s="1"/>
  <c r="I9" i="4"/>
  <c r="J9" i="4" s="1"/>
  <c r="H285" i="4"/>
  <c r="H277" i="4"/>
  <c r="H269" i="4"/>
  <c r="H261" i="4"/>
  <c r="H253" i="4"/>
  <c r="H245" i="4"/>
  <c r="H237" i="4"/>
  <c r="H229" i="4"/>
  <c r="H221" i="4"/>
  <c r="H213" i="4"/>
  <c r="H205" i="4"/>
  <c r="H197" i="4"/>
  <c r="H189" i="4"/>
  <c r="H181" i="4"/>
  <c r="H173" i="4"/>
  <c r="H165" i="4"/>
  <c r="H157" i="4"/>
  <c r="H149" i="4"/>
  <c r="H141" i="4"/>
  <c r="H133" i="4"/>
  <c r="H125" i="4"/>
  <c r="H117" i="4"/>
  <c r="H109" i="4"/>
  <c r="H101" i="4"/>
  <c r="H93" i="4"/>
  <c r="H85" i="4"/>
  <c r="H77" i="4"/>
  <c r="H69" i="4"/>
  <c r="H61" i="4"/>
  <c r="H53" i="4"/>
  <c r="H45" i="4"/>
  <c r="H36" i="4"/>
  <c r="H28" i="4"/>
  <c r="H20" i="4"/>
  <c r="H12" i="4"/>
  <c r="H4" i="4"/>
  <c r="I280" i="4"/>
  <c r="J280" i="4" s="1"/>
  <c r="I272" i="4"/>
  <c r="J272" i="4" s="1"/>
  <c r="I264" i="4"/>
  <c r="J264" i="4" s="1"/>
  <c r="I256" i="4"/>
  <c r="J256" i="4" s="1"/>
  <c r="I248" i="4"/>
  <c r="J248" i="4" s="1"/>
  <c r="I240" i="4"/>
  <c r="J240" i="4" s="1"/>
  <c r="I232" i="4"/>
  <c r="J232" i="4" s="1"/>
  <c r="I224" i="4"/>
  <c r="J224" i="4" s="1"/>
  <c r="I216" i="4"/>
  <c r="J216" i="4" s="1"/>
  <c r="I208" i="4"/>
  <c r="J208" i="4" s="1"/>
  <c r="I200" i="4"/>
  <c r="J200" i="4" s="1"/>
  <c r="I192" i="4"/>
  <c r="J192" i="4" s="1"/>
  <c r="I184" i="4"/>
  <c r="J184" i="4" s="1"/>
  <c r="I176" i="4"/>
  <c r="J176" i="4" s="1"/>
  <c r="I168" i="4"/>
  <c r="J168" i="4" s="1"/>
  <c r="I160" i="4"/>
  <c r="J160" i="4" s="1"/>
  <c r="I152" i="4"/>
  <c r="J152" i="4" s="1"/>
  <c r="I144" i="4"/>
  <c r="J144" i="4" s="1"/>
  <c r="I136" i="4"/>
  <c r="J136" i="4" s="1"/>
  <c r="I128" i="4"/>
  <c r="J128" i="4" s="1"/>
  <c r="I120" i="4"/>
  <c r="J120" i="4" s="1"/>
  <c r="I112" i="4"/>
  <c r="J112" i="4" s="1"/>
  <c r="I104" i="4"/>
  <c r="J104" i="4" s="1"/>
  <c r="I96" i="4"/>
  <c r="J96" i="4" s="1"/>
  <c r="I88" i="4"/>
  <c r="J88" i="4" s="1"/>
  <c r="I80" i="4"/>
  <c r="J80" i="4" s="1"/>
  <c r="I72" i="4"/>
  <c r="J72" i="4" s="1"/>
  <c r="I64" i="4"/>
  <c r="J64" i="4" s="1"/>
  <c r="I56" i="4"/>
  <c r="J56" i="4" s="1"/>
  <c r="I48" i="4"/>
  <c r="J48" i="4" s="1"/>
  <c r="I40" i="4"/>
  <c r="J40" i="4" s="1"/>
  <c r="I32" i="4"/>
  <c r="J32" i="4" s="1"/>
  <c r="I24" i="4"/>
  <c r="J24" i="4" s="1"/>
  <c r="I16" i="4"/>
  <c r="J16" i="4" s="1"/>
  <c r="I8" i="4"/>
  <c r="J8" i="4" s="1"/>
  <c r="H284" i="4"/>
  <c r="H276" i="4"/>
  <c r="H268" i="4"/>
  <c r="H260" i="4"/>
  <c r="H252" i="4"/>
  <c r="H244" i="4"/>
  <c r="H236" i="4"/>
  <c r="H228" i="4"/>
  <c r="H220" i="4"/>
  <c r="H212" i="4"/>
  <c r="H204" i="4"/>
  <c r="H196" i="4"/>
  <c r="H188" i="4"/>
  <c r="H180" i="4"/>
  <c r="H172" i="4"/>
  <c r="H164" i="4"/>
  <c r="H156" i="4"/>
  <c r="H148" i="4"/>
  <c r="H140" i="4"/>
  <c r="H132" i="4"/>
  <c r="H124" i="4"/>
  <c r="H116" i="4"/>
  <c r="H108" i="4"/>
  <c r="H100" i="4"/>
  <c r="H92" i="4"/>
  <c r="H84" i="4"/>
  <c r="H76" i="4"/>
  <c r="H68" i="4"/>
  <c r="H60" i="4"/>
  <c r="H52" i="4"/>
  <c r="H44" i="4"/>
  <c r="H35" i="4"/>
  <c r="H27" i="4"/>
  <c r="H19" i="4"/>
  <c r="H11" i="4"/>
  <c r="H3" i="4"/>
  <c r="I279" i="4"/>
  <c r="J279" i="4" s="1"/>
  <c r="I271" i="4"/>
  <c r="J271" i="4" s="1"/>
  <c r="I263" i="4"/>
  <c r="J263" i="4" s="1"/>
  <c r="I255" i="4"/>
  <c r="J255" i="4" s="1"/>
  <c r="I247" i="4"/>
  <c r="J247" i="4" s="1"/>
  <c r="I239" i="4"/>
  <c r="J239" i="4" s="1"/>
  <c r="I231" i="4"/>
  <c r="J231" i="4" s="1"/>
  <c r="I223" i="4"/>
  <c r="J223" i="4" s="1"/>
  <c r="I215" i="4"/>
  <c r="J215" i="4" s="1"/>
  <c r="I207" i="4"/>
  <c r="J207" i="4" s="1"/>
  <c r="I199" i="4"/>
  <c r="J199" i="4" s="1"/>
  <c r="I191" i="4"/>
  <c r="J191" i="4" s="1"/>
  <c r="I183" i="4"/>
  <c r="J183" i="4" s="1"/>
  <c r="I175" i="4"/>
  <c r="J175" i="4" s="1"/>
  <c r="I167" i="4"/>
  <c r="J167" i="4" s="1"/>
  <c r="I159" i="4"/>
  <c r="J159" i="4" s="1"/>
  <c r="I151" i="4"/>
  <c r="J151" i="4" s="1"/>
  <c r="I143" i="4"/>
  <c r="J143" i="4" s="1"/>
  <c r="I135" i="4"/>
  <c r="J135" i="4" s="1"/>
  <c r="I127" i="4"/>
  <c r="J127" i="4" s="1"/>
  <c r="I119" i="4"/>
  <c r="J119" i="4" s="1"/>
  <c r="I111" i="4"/>
  <c r="J111" i="4" s="1"/>
  <c r="I103" i="4"/>
  <c r="J103" i="4" s="1"/>
  <c r="I95" i="4"/>
  <c r="J95" i="4" s="1"/>
  <c r="I87" i="4"/>
  <c r="J87" i="4" s="1"/>
  <c r="I79" i="4"/>
  <c r="J79" i="4" s="1"/>
  <c r="I71" i="4"/>
  <c r="J71" i="4" s="1"/>
  <c r="I63" i="4"/>
  <c r="J63" i="4" s="1"/>
  <c r="I55" i="4"/>
  <c r="J55" i="4" s="1"/>
  <c r="I47" i="4"/>
  <c r="J47" i="4" s="1"/>
  <c r="I39" i="4"/>
  <c r="J39" i="4" s="1"/>
  <c r="I31" i="4"/>
  <c r="J31" i="4" s="1"/>
  <c r="I23" i="4"/>
  <c r="J23" i="4" s="1"/>
  <c r="I15" i="4"/>
  <c r="J15" i="4" s="1"/>
  <c r="I7" i="4"/>
  <c r="J7" i="4" s="1"/>
  <c r="H283" i="4"/>
  <c r="H275" i="4"/>
  <c r="H267" i="4"/>
  <c r="H259" i="4"/>
  <c r="H251" i="4"/>
  <c r="H243" i="4"/>
  <c r="H235" i="4"/>
  <c r="H227" i="4"/>
  <c r="H219" i="4"/>
  <c r="H211" i="4"/>
  <c r="H203" i="4"/>
  <c r="H195" i="4"/>
  <c r="H187" i="4"/>
  <c r="H179" i="4"/>
  <c r="H171" i="4"/>
  <c r="H163" i="4"/>
  <c r="H155" i="4"/>
  <c r="H147" i="4"/>
  <c r="H139" i="4"/>
  <c r="H131" i="4"/>
  <c r="H123" i="4"/>
  <c r="H115" i="4"/>
  <c r="H107" i="4"/>
  <c r="H99" i="4"/>
  <c r="H91" i="4"/>
  <c r="H83" i="4"/>
  <c r="H75" i="4"/>
  <c r="H67" i="4"/>
  <c r="H59" i="4"/>
  <c r="H51" i="4"/>
  <c r="H43" i="4"/>
  <c r="H34" i="4"/>
  <c r="H26" i="4"/>
  <c r="H18" i="4"/>
  <c r="H10" i="4"/>
  <c r="H2" i="4"/>
  <c r="I278" i="4"/>
  <c r="J278" i="4" s="1"/>
  <c r="I270" i="4"/>
  <c r="J270" i="4" s="1"/>
  <c r="I262" i="4"/>
  <c r="J262" i="4" s="1"/>
  <c r="I254" i="4"/>
  <c r="J254" i="4" s="1"/>
  <c r="I246" i="4"/>
  <c r="J246" i="4" s="1"/>
  <c r="I238" i="4"/>
  <c r="J238" i="4" s="1"/>
  <c r="I230" i="4"/>
  <c r="J230" i="4" s="1"/>
  <c r="I222" i="4"/>
  <c r="J222" i="4" s="1"/>
  <c r="I214" i="4"/>
  <c r="J214" i="4" s="1"/>
  <c r="I206" i="4"/>
  <c r="J206" i="4" s="1"/>
  <c r="I198" i="4"/>
  <c r="J198" i="4" s="1"/>
  <c r="I190" i="4"/>
  <c r="J190" i="4" s="1"/>
  <c r="I182" i="4"/>
  <c r="J182" i="4" s="1"/>
  <c r="I174" i="4"/>
  <c r="J174" i="4" s="1"/>
  <c r="I166" i="4"/>
  <c r="J166" i="4" s="1"/>
  <c r="I158" i="4"/>
  <c r="J158" i="4" s="1"/>
  <c r="I150" i="4"/>
  <c r="J150" i="4" s="1"/>
  <c r="I142" i="4"/>
  <c r="J142" i="4" s="1"/>
  <c r="I134" i="4"/>
  <c r="J134" i="4" s="1"/>
  <c r="I126" i="4"/>
  <c r="J126" i="4" s="1"/>
  <c r="I118" i="4"/>
  <c r="J118" i="4" s="1"/>
  <c r="I110" i="4"/>
  <c r="J110" i="4" s="1"/>
  <c r="I102" i="4"/>
  <c r="J102" i="4" s="1"/>
  <c r="I94" i="4"/>
  <c r="J94" i="4" s="1"/>
  <c r="I86" i="4"/>
  <c r="J86" i="4" s="1"/>
  <c r="I78" i="4"/>
  <c r="J78" i="4" s="1"/>
  <c r="I70" i="4"/>
  <c r="J70" i="4" s="1"/>
  <c r="I62" i="4"/>
  <c r="J62" i="4" s="1"/>
  <c r="I54" i="4"/>
  <c r="J54" i="4" s="1"/>
  <c r="I46" i="4"/>
  <c r="J46" i="4" s="1"/>
  <c r="I38" i="4"/>
  <c r="J38" i="4" s="1"/>
  <c r="I30" i="4"/>
  <c r="J30" i="4" s="1"/>
  <c r="I22" i="4"/>
  <c r="J22" i="4" s="1"/>
  <c r="I14" i="4"/>
  <c r="J14" i="4" s="1"/>
  <c r="I6" i="4"/>
  <c r="J6" i="4" s="1"/>
  <c r="H282" i="4"/>
  <c r="H274" i="4"/>
  <c r="H266" i="4"/>
  <c r="H258" i="4"/>
  <c r="H250" i="4"/>
  <c r="H242" i="4"/>
  <c r="H234" i="4"/>
  <c r="H226" i="4"/>
  <c r="H218" i="4"/>
  <c r="H210" i="4"/>
  <c r="H202" i="4"/>
  <c r="H194" i="4"/>
  <c r="H186" i="4"/>
  <c r="H178" i="4"/>
  <c r="H170" i="4"/>
  <c r="H162" i="4"/>
  <c r="H154" i="4"/>
  <c r="H146" i="4"/>
  <c r="H138" i="4"/>
  <c r="H130" i="4"/>
  <c r="H122" i="4"/>
  <c r="H114" i="4"/>
  <c r="H106" i="4"/>
  <c r="H98" i="4"/>
  <c r="H90" i="4"/>
  <c r="H82" i="4"/>
  <c r="H74" i="4"/>
  <c r="H66" i="4"/>
  <c r="H58" i="4"/>
  <c r="H50" i="4"/>
  <c r="H42" i="4"/>
  <c r="H33" i="4"/>
  <c r="H25" i="4"/>
  <c r="H17" i="4"/>
  <c r="H9" i="4"/>
  <c r="H41" i="4"/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C3" i="2"/>
  <c r="J3" i="2" s="1"/>
  <c r="C2" i="2"/>
  <c r="J2" i="2" s="1"/>
  <c r="C4" i="2"/>
  <c r="J4" i="2" s="1"/>
  <c r="C5" i="2"/>
  <c r="C6" i="2"/>
  <c r="L6" i="2" s="1"/>
  <c r="C7" i="2"/>
  <c r="J7" i="2" s="1"/>
  <c r="C8" i="2"/>
  <c r="C9" i="2"/>
  <c r="J9" i="2" s="1"/>
  <c r="C10" i="2"/>
  <c r="J10" i="2" s="1"/>
  <c r="C11" i="2"/>
  <c r="J11" i="2" s="1"/>
  <c r="C12" i="2"/>
  <c r="J12" i="2" s="1"/>
  <c r="C13" i="2"/>
  <c r="D13" i="2" s="1"/>
  <c r="C14" i="2"/>
  <c r="L14" i="2" s="1"/>
  <c r="C15" i="2"/>
  <c r="L15" i="2" s="1"/>
  <c r="C16" i="2"/>
  <c r="C17" i="2"/>
  <c r="J17" i="2" s="1"/>
  <c r="C18" i="2"/>
  <c r="J18" i="2" s="1"/>
  <c r="C19" i="2"/>
  <c r="J19" i="2" s="1"/>
  <c r="C20" i="2"/>
  <c r="J20" i="2" s="1"/>
  <c r="C21" i="2"/>
  <c r="D21" i="2" s="1"/>
  <c r="C22" i="2"/>
  <c r="L22" i="2" s="1"/>
  <c r="C23" i="2"/>
  <c r="L23" i="2" s="1"/>
  <c r="C24" i="2"/>
  <c r="C25" i="2"/>
  <c r="J25" i="2" s="1"/>
  <c r="C26" i="2"/>
  <c r="J26" i="2" s="1"/>
  <c r="C27" i="2"/>
  <c r="J27" i="2" s="1"/>
  <c r="C28" i="2"/>
  <c r="J28" i="2" s="1"/>
  <c r="C29" i="2"/>
  <c r="C30" i="2"/>
  <c r="L30" i="2" s="1"/>
  <c r="C31" i="2"/>
  <c r="L31" i="2" s="1"/>
  <c r="C32" i="2"/>
  <c r="C33" i="2"/>
  <c r="J33" i="2" s="1"/>
  <c r="C34" i="2"/>
  <c r="J34" i="2" s="1"/>
  <c r="C35" i="2"/>
  <c r="J35" i="2" s="1"/>
  <c r="C36" i="2"/>
  <c r="J36" i="2" s="1"/>
  <c r="C37" i="2"/>
  <c r="C38" i="2"/>
  <c r="L38" i="2" s="1"/>
  <c r="C39" i="2"/>
  <c r="L39" i="2" s="1"/>
  <c r="C40" i="2"/>
  <c r="C41" i="2"/>
  <c r="J41" i="2" s="1"/>
  <c r="C42" i="2"/>
  <c r="J42" i="2" s="1"/>
  <c r="C43" i="2"/>
  <c r="J43" i="2" s="1"/>
  <c r="C44" i="2"/>
  <c r="J44" i="2" s="1"/>
  <c r="C45" i="2"/>
  <c r="D45" i="2" s="1"/>
  <c r="C46" i="2"/>
  <c r="L46" i="2" s="1"/>
  <c r="C47" i="2"/>
  <c r="L47" i="2" s="1"/>
  <c r="C48" i="2"/>
  <c r="C49" i="2"/>
  <c r="J49" i="2" s="1"/>
  <c r="C50" i="2"/>
  <c r="J50" i="2" s="1"/>
  <c r="C51" i="2"/>
  <c r="J51" i="2" s="1"/>
  <c r="C52" i="2"/>
  <c r="J52" i="2" s="1"/>
  <c r="C53" i="2"/>
  <c r="D53" i="2" s="1"/>
  <c r="C54" i="2"/>
  <c r="L54" i="2" s="1"/>
  <c r="C55" i="2"/>
  <c r="L55" i="2" s="1"/>
  <c r="C56" i="2"/>
  <c r="C57" i="2"/>
  <c r="J57" i="2" s="1"/>
  <c r="C58" i="2"/>
  <c r="J58" i="2" s="1"/>
  <c r="C59" i="2"/>
  <c r="J59" i="2" s="1"/>
  <c r="C60" i="2"/>
  <c r="J60" i="2" s="1"/>
  <c r="C61" i="2"/>
  <c r="C62" i="2"/>
  <c r="L62" i="2" s="1"/>
  <c r="C63" i="2"/>
  <c r="L63" i="2" s="1"/>
  <c r="C64" i="2"/>
  <c r="C65" i="2"/>
  <c r="J65" i="2" s="1"/>
  <c r="C66" i="2"/>
  <c r="J66" i="2" s="1"/>
  <c r="C67" i="2"/>
  <c r="J67" i="2" s="1"/>
  <c r="C68" i="2"/>
  <c r="J68" i="2" s="1"/>
  <c r="C69" i="2"/>
  <c r="C70" i="2"/>
  <c r="L70" i="2" s="1"/>
  <c r="C71" i="2"/>
  <c r="L71" i="2" s="1"/>
  <c r="C72" i="2"/>
  <c r="C73" i="2"/>
  <c r="J73" i="2" s="1"/>
  <c r="C74" i="2"/>
  <c r="J74" i="2" s="1"/>
  <c r="C75" i="2"/>
  <c r="J75" i="2" s="1"/>
  <c r="C76" i="2"/>
  <c r="J76" i="2" s="1"/>
  <c r="C77" i="2"/>
  <c r="C78" i="2"/>
  <c r="L78" i="2" s="1"/>
  <c r="C79" i="2"/>
  <c r="L79" i="2" s="1"/>
  <c r="C80" i="2"/>
  <c r="C81" i="2"/>
  <c r="J81" i="2" s="1"/>
  <c r="C82" i="2"/>
  <c r="J82" i="2" s="1"/>
  <c r="C83" i="2"/>
  <c r="J83" i="2" s="1"/>
  <c r="C84" i="2"/>
  <c r="J84" i="2" s="1"/>
  <c r="C85" i="2"/>
  <c r="D85" i="2" s="1"/>
  <c r="C86" i="2"/>
  <c r="L86" i="2" s="1"/>
  <c r="C87" i="2"/>
  <c r="L87" i="2" s="1"/>
  <c r="C88" i="2"/>
  <c r="C89" i="2"/>
  <c r="J89" i="2" s="1"/>
  <c r="C90" i="2"/>
  <c r="J90" i="2" s="1"/>
  <c r="C91" i="2"/>
  <c r="J91" i="2" s="1"/>
  <c r="C92" i="2"/>
  <c r="J92" i="2" s="1"/>
  <c r="C93" i="2"/>
  <c r="C94" i="2"/>
  <c r="L94" i="2" s="1"/>
  <c r="C95" i="2"/>
  <c r="L95" i="2" s="1"/>
  <c r="C96" i="2"/>
  <c r="C97" i="2"/>
  <c r="J97" i="2" s="1"/>
  <c r="C98" i="2"/>
  <c r="J98" i="2" s="1"/>
  <c r="C99" i="2"/>
  <c r="J99" i="2" s="1"/>
  <c r="C100" i="2"/>
  <c r="J100" i="2" s="1"/>
  <c r="C101" i="2"/>
  <c r="C102" i="2"/>
  <c r="L102" i="2" s="1"/>
  <c r="C103" i="2"/>
  <c r="L103" i="2" s="1"/>
  <c r="C104" i="2"/>
  <c r="C105" i="2"/>
  <c r="J105" i="2" s="1"/>
  <c r="C106" i="2"/>
  <c r="J106" i="2" s="1"/>
  <c r="C107" i="2"/>
  <c r="J107" i="2" s="1"/>
  <c r="C108" i="2"/>
  <c r="J108" i="2" s="1"/>
  <c r="C109" i="2"/>
  <c r="C110" i="2"/>
  <c r="L110" i="2" s="1"/>
  <c r="C111" i="2"/>
  <c r="L111" i="2" s="1"/>
  <c r="C112" i="2"/>
  <c r="C113" i="2"/>
  <c r="J113" i="2" s="1"/>
  <c r="C114" i="2"/>
  <c r="J114" i="2" s="1"/>
  <c r="C115" i="2"/>
  <c r="J115" i="2" s="1"/>
  <c r="C116" i="2"/>
  <c r="J116" i="2" s="1"/>
  <c r="C117" i="2"/>
  <c r="D117" i="2" s="1"/>
  <c r="C118" i="2"/>
  <c r="L118" i="2" s="1"/>
  <c r="C119" i="2"/>
  <c r="L119" i="2" s="1"/>
  <c r="C120" i="2"/>
  <c r="C121" i="2"/>
  <c r="J121" i="2" s="1"/>
  <c r="C122" i="2"/>
  <c r="J122" i="2" s="1"/>
  <c r="C123" i="2"/>
  <c r="J123" i="2" s="1"/>
  <c r="C124" i="2"/>
  <c r="J124" i="2" s="1"/>
  <c r="C125" i="2"/>
  <c r="C126" i="2"/>
  <c r="L126" i="2" s="1"/>
  <c r="C127" i="2"/>
  <c r="L127" i="2" s="1"/>
  <c r="C128" i="2"/>
  <c r="C129" i="2"/>
  <c r="J129" i="2" s="1"/>
  <c r="C130" i="2"/>
  <c r="J130" i="2" s="1"/>
  <c r="C131" i="2"/>
  <c r="J131" i="2" s="1"/>
  <c r="C132" i="2"/>
  <c r="J132" i="2" s="1"/>
  <c r="C133" i="2"/>
  <c r="D133" i="2" s="1"/>
  <c r="C134" i="2"/>
  <c r="L134" i="2" s="1"/>
  <c r="C135" i="2"/>
  <c r="L135" i="2" s="1"/>
  <c r="C136" i="2"/>
  <c r="C137" i="2"/>
  <c r="J137" i="2" s="1"/>
  <c r="C138" i="2"/>
  <c r="J138" i="2" s="1"/>
  <c r="C139" i="2"/>
  <c r="J139" i="2" s="1"/>
  <c r="C140" i="2"/>
  <c r="J140" i="2" s="1"/>
  <c r="C141" i="2"/>
  <c r="C142" i="2"/>
  <c r="L142" i="2" s="1"/>
  <c r="C143" i="2"/>
  <c r="L143" i="2" s="1"/>
  <c r="C144" i="2"/>
  <c r="C145" i="2"/>
  <c r="J145" i="2" s="1"/>
  <c r="C146" i="2"/>
  <c r="J146" i="2" s="1"/>
  <c r="C147" i="2"/>
  <c r="J147" i="2" s="1"/>
  <c r="C148" i="2"/>
  <c r="J148" i="2" s="1"/>
  <c r="C149" i="2"/>
  <c r="D149" i="2" s="1"/>
  <c r="C150" i="2"/>
  <c r="L150" i="2" s="1"/>
  <c r="C151" i="2"/>
  <c r="L151" i="2" s="1"/>
  <c r="C152" i="2"/>
  <c r="C153" i="2"/>
  <c r="J153" i="2" s="1"/>
  <c r="C154" i="2"/>
  <c r="J154" i="2" s="1"/>
  <c r="C155" i="2"/>
  <c r="J155" i="2" s="1"/>
  <c r="C156" i="2"/>
  <c r="J156" i="2" s="1"/>
  <c r="C157" i="2"/>
  <c r="C158" i="2"/>
  <c r="L158" i="2" s="1"/>
  <c r="C159" i="2"/>
  <c r="L159" i="2" s="1"/>
  <c r="C160" i="2"/>
  <c r="C161" i="2"/>
  <c r="J161" i="2" s="1"/>
  <c r="C162" i="2"/>
  <c r="J162" i="2" s="1"/>
  <c r="C163" i="2"/>
  <c r="J163" i="2" s="1"/>
  <c r="C164" i="2"/>
  <c r="J164" i="2" s="1"/>
  <c r="C165" i="2"/>
  <c r="C166" i="2"/>
  <c r="L166" i="2" s="1"/>
  <c r="C167" i="2"/>
  <c r="L167" i="2" s="1"/>
  <c r="C168" i="2"/>
  <c r="C169" i="2"/>
  <c r="J169" i="2" s="1"/>
  <c r="C170" i="2"/>
  <c r="J170" i="2" s="1"/>
  <c r="C171" i="2"/>
  <c r="J171" i="2" s="1"/>
  <c r="C172" i="2"/>
  <c r="J172" i="2" s="1"/>
  <c r="C173" i="2"/>
  <c r="C174" i="2"/>
  <c r="L174" i="2" s="1"/>
  <c r="C175" i="2"/>
  <c r="L175" i="2" s="1"/>
  <c r="C176" i="2"/>
  <c r="C177" i="2"/>
  <c r="J177" i="2" s="1"/>
  <c r="C178" i="2"/>
  <c r="J178" i="2" s="1"/>
  <c r="C179" i="2"/>
  <c r="J179" i="2" s="1"/>
  <c r="C180" i="2"/>
  <c r="J180" i="2" s="1"/>
  <c r="C181" i="2"/>
  <c r="D181" i="2" s="1"/>
  <c r="C182" i="2"/>
  <c r="L182" i="2" s="1"/>
  <c r="C183" i="2"/>
  <c r="L183" i="2" s="1"/>
  <c r="C184" i="2"/>
  <c r="C185" i="2"/>
  <c r="J185" i="2" s="1"/>
  <c r="C186" i="2"/>
  <c r="J186" i="2" s="1"/>
  <c r="C187" i="2"/>
  <c r="J187" i="2" s="1"/>
  <c r="C188" i="2"/>
  <c r="J188" i="2" s="1"/>
  <c r="C189" i="2"/>
  <c r="C190" i="2"/>
  <c r="L190" i="2" s="1"/>
  <c r="C191" i="2"/>
  <c r="L191" i="2" s="1"/>
  <c r="C192" i="2"/>
  <c r="C193" i="2"/>
  <c r="J193" i="2" s="1"/>
  <c r="C194" i="2"/>
  <c r="J194" i="2" s="1"/>
  <c r="C195" i="2"/>
  <c r="J195" i="2" s="1"/>
  <c r="C196" i="2"/>
  <c r="J196" i="2" s="1"/>
  <c r="C197" i="2"/>
  <c r="D197" i="2" s="1"/>
  <c r="C198" i="2"/>
  <c r="L198" i="2" s="1"/>
  <c r="C199" i="2"/>
  <c r="L199" i="2" s="1"/>
  <c r="C200" i="2"/>
  <c r="C201" i="2"/>
  <c r="J201" i="2" s="1"/>
  <c r="C202" i="2"/>
  <c r="J202" i="2" s="1"/>
  <c r="C203" i="2"/>
  <c r="C204" i="2"/>
  <c r="J204" i="2" s="1"/>
  <c r="C205" i="2"/>
  <c r="C206" i="2"/>
  <c r="L206" i="2" s="1"/>
  <c r="C207" i="2"/>
  <c r="L207" i="2" s="1"/>
  <c r="C208" i="2"/>
  <c r="C209" i="2"/>
  <c r="C210" i="2"/>
  <c r="C211" i="2"/>
  <c r="C212" i="2"/>
  <c r="J212" i="2" s="1"/>
  <c r="C213" i="2"/>
  <c r="D213" i="2" s="1"/>
  <c r="C214" i="2"/>
  <c r="L214" i="2" s="1"/>
  <c r="C215" i="2"/>
  <c r="L215" i="2" s="1"/>
  <c r="C216" i="2"/>
  <c r="C217" i="2"/>
  <c r="C218" i="2"/>
  <c r="C219" i="2"/>
  <c r="C220" i="2"/>
  <c r="J220" i="2" s="1"/>
  <c r="C221" i="2"/>
  <c r="C222" i="2"/>
  <c r="L222" i="2" s="1"/>
  <c r="C223" i="2"/>
  <c r="L223" i="2" s="1"/>
  <c r="C224" i="2"/>
  <c r="C225" i="2"/>
  <c r="C226" i="2"/>
  <c r="C227" i="2"/>
  <c r="C228" i="2"/>
  <c r="J228" i="2" s="1"/>
  <c r="C229" i="2"/>
  <c r="D229" i="2" s="1"/>
  <c r="C230" i="2"/>
  <c r="L230" i="2" s="1"/>
  <c r="C231" i="2"/>
  <c r="L231" i="2" s="1"/>
  <c r="C232" i="2"/>
  <c r="C233" i="2"/>
  <c r="C234" i="2"/>
  <c r="C235" i="2"/>
  <c r="C236" i="2"/>
  <c r="J236" i="2" s="1"/>
  <c r="C237" i="2"/>
  <c r="D237" i="2" s="1"/>
  <c r="C238" i="2"/>
  <c r="L238" i="2" s="1"/>
  <c r="C239" i="2"/>
  <c r="L239" i="2" s="1"/>
  <c r="C240" i="2"/>
  <c r="C241" i="2"/>
  <c r="C242" i="2"/>
  <c r="C243" i="2"/>
  <c r="C244" i="2"/>
  <c r="J244" i="2" s="1"/>
  <c r="C245" i="2"/>
  <c r="D245" i="2" s="1"/>
  <c r="C246" i="2"/>
  <c r="L246" i="2" s="1"/>
  <c r="C247" i="2"/>
  <c r="L247" i="2" s="1"/>
  <c r="C248" i="2"/>
  <c r="C249" i="2"/>
  <c r="C250" i="2"/>
  <c r="C251" i="2"/>
  <c r="C252" i="2"/>
  <c r="J252" i="2" s="1"/>
  <c r="C253" i="2"/>
  <c r="C254" i="2"/>
  <c r="L254" i="2" s="1"/>
  <c r="C255" i="2"/>
  <c r="L255" i="2" s="1"/>
  <c r="C256" i="2"/>
  <c r="C257" i="2"/>
  <c r="C258" i="2"/>
  <c r="C259" i="2"/>
  <c r="C260" i="2"/>
  <c r="J260" i="2" s="1"/>
  <c r="C261" i="2"/>
  <c r="D261" i="2" s="1"/>
  <c r="C262" i="2"/>
  <c r="L262" i="2" s="1"/>
  <c r="C263" i="2"/>
  <c r="L263" i="2" s="1"/>
  <c r="C264" i="2"/>
  <c r="L264" i="2" s="1"/>
  <c r="C265" i="2"/>
  <c r="C266" i="2"/>
  <c r="C267" i="2"/>
  <c r="C268" i="2"/>
  <c r="L268" i="2" s="1"/>
  <c r="C269" i="2"/>
  <c r="C270" i="2"/>
  <c r="L270" i="2" s="1"/>
  <c r="C271" i="2"/>
  <c r="L271" i="2" s="1"/>
  <c r="C272" i="2"/>
  <c r="L272" i="2" s="1"/>
  <c r="C273" i="2"/>
  <c r="C274" i="2"/>
  <c r="C275" i="2"/>
  <c r="C276" i="2"/>
  <c r="L276" i="2" s="1"/>
  <c r="C277" i="2"/>
  <c r="D277" i="2" s="1"/>
  <c r="C278" i="2"/>
  <c r="L278" i="2" s="1"/>
  <c r="C279" i="2"/>
  <c r="L279" i="2" s="1"/>
  <c r="C280" i="2"/>
  <c r="L280" i="2" s="1"/>
  <c r="C281" i="2"/>
  <c r="C282" i="2"/>
  <c r="C283" i="2"/>
  <c r="C284" i="2"/>
  <c r="L284" i="2" s="1"/>
  <c r="C285" i="2"/>
  <c r="L12" i="2" l="1"/>
  <c r="L252" i="2"/>
  <c r="L188" i="2"/>
  <c r="L124" i="2"/>
  <c r="L60" i="2"/>
  <c r="L244" i="2"/>
  <c r="L180" i="2"/>
  <c r="L116" i="2"/>
  <c r="L52" i="2"/>
  <c r="L236" i="2"/>
  <c r="L172" i="2"/>
  <c r="L108" i="2"/>
  <c r="L44" i="2"/>
  <c r="L228" i="2"/>
  <c r="L164" i="2"/>
  <c r="L100" i="2"/>
  <c r="L36" i="2"/>
  <c r="L220" i="2"/>
  <c r="L156" i="2"/>
  <c r="L92" i="2"/>
  <c r="L28" i="2"/>
  <c r="L212" i="2"/>
  <c r="L148" i="2"/>
  <c r="L84" i="2"/>
  <c r="L20" i="2"/>
  <c r="L204" i="2"/>
  <c r="L140" i="2"/>
  <c r="L76" i="2"/>
  <c r="L260" i="2"/>
  <c r="L196" i="2"/>
  <c r="L132" i="2"/>
  <c r="L68" i="2"/>
  <c r="L4" i="2"/>
  <c r="J250" i="2"/>
  <c r="L250" i="2"/>
  <c r="J241" i="2"/>
  <c r="L241" i="2"/>
  <c r="L232" i="2"/>
  <c r="J208" i="2"/>
  <c r="L208" i="2"/>
  <c r="J176" i="2"/>
  <c r="L176" i="2"/>
  <c r="J168" i="2"/>
  <c r="L168" i="2"/>
  <c r="J160" i="2"/>
  <c r="L160" i="2"/>
  <c r="J152" i="2"/>
  <c r="L152" i="2"/>
  <c r="J144" i="2"/>
  <c r="L144" i="2"/>
  <c r="J136" i="2"/>
  <c r="L136" i="2"/>
  <c r="J128" i="2"/>
  <c r="L128" i="2"/>
  <c r="J120" i="2"/>
  <c r="L120" i="2"/>
  <c r="J112" i="2"/>
  <c r="L112" i="2"/>
  <c r="J104" i="2"/>
  <c r="L104" i="2"/>
  <c r="J96" i="2"/>
  <c r="L96" i="2"/>
  <c r="D88" i="2"/>
  <c r="K88" i="2" s="1"/>
  <c r="L88" i="2"/>
  <c r="J80" i="2"/>
  <c r="L80" i="2"/>
  <c r="J72" i="2"/>
  <c r="L72" i="2"/>
  <c r="J64" i="2"/>
  <c r="L64" i="2"/>
  <c r="J56" i="2"/>
  <c r="L56" i="2"/>
  <c r="J48" i="2"/>
  <c r="L48" i="2"/>
  <c r="J40" i="2"/>
  <c r="L40" i="2"/>
  <c r="J32" i="2"/>
  <c r="L32" i="2"/>
  <c r="J24" i="2"/>
  <c r="L24" i="2"/>
  <c r="J16" i="2"/>
  <c r="L16" i="2"/>
  <c r="J8" i="2"/>
  <c r="L8" i="2"/>
  <c r="J266" i="2"/>
  <c r="L266" i="2"/>
  <c r="J210" i="2"/>
  <c r="L210" i="2"/>
  <c r="J265" i="2"/>
  <c r="L265" i="2"/>
  <c r="J217" i="2"/>
  <c r="L217" i="2"/>
  <c r="L256" i="2"/>
  <c r="L216" i="2"/>
  <c r="J274" i="2"/>
  <c r="L274" i="2"/>
  <c r="J226" i="2"/>
  <c r="L226" i="2"/>
  <c r="J273" i="2"/>
  <c r="L273" i="2"/>
  <c r="J225" i="2"/>
  <c r="L225" i="2"/>
  <c r="L248" i="2"/>
  <c r="J192" i="2"/>
  <c r="L192" i="2"/>
  <c r="J258" i="2"/>
  <c r="L258" i="2"/>
  <c r="J234" i="2"/>
  <c r="L234" i="2"/>
  <c r="J281" i="2"/>
  <c r="L281" i="2"/>
  <c r="J233" i="2"/>
  <c r="L233" i="2"/>
  <c r="L240" i="2"/>
  <c r="L224" i="2"/>
  <c r="J242" i="2"/>
  <c r="L242" i="2"/>
  <c r="J257" i="2"/>
  <c r="L257" i="2"/>
  <c r="J184" i="2"/>
  <c r="L184" i="2"/>
  <c r="J284" i="2"/>
  <c r="J276" i="2"/>
  <c r="J268" i="2"/>
  <c r="J282" i="2"/>
  <c r="L282" i="2"/>
  <c r="J218" i="2"/>
  <c r="L218" i="2"/>
  <c r="J249" i="2"/>
  <c r="L249" i="2"/>
  <c r="J209" i="2"/>
  <c r="L209" i="2"/>
  <c r="J200" i="2"/>
  <c r="L200" i="2"/>
  <c r="J283" i="2"/>
  <c r="L283" i="2"/>
  <c r="J275" i="2"/>
  <c r="L275" i="2"/>
  <c r="J267" i="2"/>
  <c r="L267" i="2"/>
  <c r="J259" i="2"/>
  <c r="L259" i="2"/>
  <c r="J251" i="2"/>
  <c r="L251" i="2"/>
  <c r="J243" i="2"/>
  <c r="L243" i="2"/>
  <c r="J235" i="2"/>
  <c r="L235" i="2"/>
  <c r="J227" i="2"/>
  <c r="L227" i="2"/>
  <c r="J219" i="2"/>
  <c r="L219" i="2"/>
  <c r="J211" i="2"/>
  <c r="L211" i="2"/>
  <c r="J203" i="2"/>
  <c r="L20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5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1" i="2"/>
  <c r="L3" i="2"/>
  <c r="L202" i="2"/>
  <c r="L194" i="2"/>
  <c r="L186" i="2"/>
  <c r="L178" i="2"/>
  <c r="L170" i="2"/>
  <c r="L162" i="2"/>
  <c r="L154" i="2"/>
  <c r="L146" i="2"/>
  <c r="L138" i="2"/>
  <c r="L130" i="2"/>
  <c r="L122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L2" i="2"/>
  <c r="L201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  <c r="M277" i="2"/>
  <c r="M261" i="2"/>
  <c r="M245" i="2"/>
  <c r="M237" i="2"/>
  <c r="M229" i="2"/>
  <c r="M213" i="2"/>
  <c r="M197" i="2"/>
  <c r="M181" i="2"/>
  <c r="M149" i="2"/>
  <c r="M133" i="2"/>
  <c r="M117" i="2"/>
  <c r="M85" i="2"/>
  <c r="M53" i="2"/>
  <c r="M45" i="2"/>
  <c r="M21" i="2"/>
  <c r="M13" i="2"/>
  <c r="L7" i="2"/>
  <c r="D220" i="2"/>
  <c r="M220" i="2" s="1"/>
  <c r="D156" i="2"/>
  <c r="M156" i="2" s="1"/>
  <c r="D92" i="2"/>
  <c r="M92" i="2" s="1"/>
  <c r="D44" i="2"/>
  <c r="K44" i="2" s="1"/>
  <c r="D284" i="2"/>
  <c r="K284" i="2" s="1"/>
  <c r="D276" i="2"/>
  <c r="M276" i="2" s="1"/>
  <c r="D212" i="2"/>
  <c r="M212" i="2" s="1"/>
  <c r="D148" i="2"/>
  <c r="K148" i="2" s="1"/>
  <c r="D84" i="2"/>
  <c r="M84" i="2" s="1"/>
  <c r="D36" i="2"/>
  <c r="M36" i="2" s="1"/>
  <c r="D268" i="2"/>
  <c r="K268" i="2" s="1"/>
  <c r="D204" i="2"/>
  <c r="K204" i="2" s="1"/>
  <c r="D140" i="2"/>
  <c r="M140" i="2" s="1"/>
  <c r="D76" i="2"/>
  <c r="M76" i="2" s="1"/>
  <c r="D28" i="2"/>
  <c r="K28" i="2" s="1"/>
  <c r="D260" i="2"/>
  <c r="K260" i="2" s="1"/>
  <c r="D196" i="2"/>
  <c r="K196" i="2" s="1"/>
  <c r="D132" i="2"/>
  <c r="M132" i="2" s="1"/>
  <c r="D68" i="2"/>
  <c r="K68" i="2" s="1"/>
  <c r="D252" i="2"/>
  <c r="K252" i="2" s="1"/>
  <c r="D188" i="2"/>
  <c r="K188" i="2" s="1"/>
  <c r="D124" i="2"/>
  <c r="M124" i="2" s="1"/>
  <c r="D60" i="2"/>
  <c r="K60" i="2" s="1"/>
  <c r="D20" i="2"/>
  <c r="K20" i="2" s="1"/>
  <c r="D244" i="2"/>
  <c r="K244" i="2" s="1"/>
  <c r="D180" i="2"/>
  <c r="M180" i="2" s="1"/>
  <c r="D116" i="2"/>
  <c r="K116" i="2" s="1"/>
  <c r="D236" i="2"/>
  <c r="K236" i="2" s="1"/>
  <c r="D172" i="2"/>
  <c r="K172" i="2" s="1"/>
  <c r="D108" i="2"/>
  <c r="M108" i="2" s="1"/>
  <c r="D52" i="2"/>
  <c r="K52" i="2" s="1"/>
  <c r="D12" i="2"/>
  <c r="K12" i="2" s="1"/>
  <c r="J88" i="2"/>
  <c r="D228" i="2"/>
  <c r="M228" i="2" s="1"/>
  <c r="D164" i="2"/>
  <c r="K164" i="2" s="1"/>
  <c r="D100" i="2"/>
  <c r="K100" i="2" s="1"/>
  <c r="D4" i="2"/>
  <c r="K4" i="2" s="1"/>
  <c r="J279" i="2"/>
  <c r="D279" i="2"/>
  <c r="K279" i="2" s="1"/>
  <c r="J239" i="2"/>
  <c r="D239" i="2"/>
  <c r="K239" i="2" s="1"/>
  <c r="J183" i="2"/>
  <c r="D183" i="2"/>
  <c r="K183" i="2" s="1"/>
  <c r="J135" i="2"/>
  <c r="D135" i="2"/>
  <c r="K135" i="2" s="1"/>
  <c r="J71" i="2"/>
  <c r="D71" i="2"/>
  <c r="K71" i="2" s="1"/>
  <c r="J31" i="2"/>
  <c r="D31" i="2"/>
  <c r="K31" i="2" s="1"/>
  <c r="J230" i="2"/>
  <c r="D230" i="2"/>
  <c r="K230" i="2" s="1"/>
  <c r="J182" i="2"/>
  <c r="D182" i="2"/>
  <c r="K182" i="2" s="1"/>
  <c r="J158" i="2"/>
  <c r="D158" i="2"/>
  <c r="K158" i="2" s="1"/>
  <c r="J110" i="2"/>
  <c r="D110" i="2"/>
  <c r="K110" i="2" s="1"/>
  <c r="J94" i="2"/>
  <c r="D94" i="2"/>
  <c r="K94" i="2" s="1"/>
  <c r="J86" i="2"/>
  <c r="D86" i="2"/>
  <c r="K86" i="2" s="1"/>
  <c r="J46" i="2"/>
  <c r="D46" i="2"/>
  <c r="K46" i="2" s="1"/>
  <c r="J30" i="2"/>
  <c r="D30" i="2"/>
  <c r="K30" i="2" s="1"/>
  <c r="J22" i="2"/>
  <c r="D22" i="2"/>
  <c r="K22" i="2" s="1"/>
  <c r="J14" i="2"/>
  <c r="D14" i="2"/>
  <c r="K14" i="2" s="1"/>
  <c r="J6" i="2"/>
  <c r="D6" i="2"/>
  <c r="K6" i="2" s="1"/>
  <c r="J271" i="2"/>
  <c r="D271" i="2"/>
  <c r="K271" i="2" s="1"/>
  <c r="J223" i="2"/>
  <c r="D223" i="2"/>
  <c r="K223" i="2" s="1"/>
  <c r="J175" i="2"/>
  <c r="D175" i="2"/>
  <c r="K175" i="2" s="1"/>
  <c r="J127" i="2"/>
  <c r="D127" i="2"/>
  <c r="K127" i="2" s="1"/>
  <c r="J79" i="2"/>
  <c r="D79" i="2"/>
  <c r="K79" i="2" s="1"/>
  <c r="J23" i="2"/>
  <c r="D23" i="2"/>
  <c r="M23" i="2" s="1"/>
  <c r="J246" i="2"/>
  <c r="D246" i="2"/>
  <c r="K246" i="2" s="1"/>
  <c r="J214" i="2"/>
  <c r="D214" i="2"/>
  <c r="K214" i="2" s="1"/>
  <c r="J166" i="2"/>
  <c r="D166" i="2"/>
  <c r="K166" i="2" s="1"/>
  <c r="J118" i="2"/>
  <c r="D118" i="2"/>
  <c r="K118" i="2" s="1"/>
  <c r="J38" i="2"/>
  <c r="D38" i="2"/>
  <c r="K38" i="2" s="1"/>
  <c r="J245" i="2"/>
  <c r="K245" i="2"/>
  <c r="J205" i="2"/>
  <c r="J165" i="2"/>
  <c r="J149" i="2"/>
  <c r="K149" i="2"/>
  <c r="J109" i="2"/>
  <c r="J101" i="2"/>
  <c r="J93" i="2"/>
  <c r="J85" i="2"/>
  <c r="K85" i="2"/>
  <c r="J77" i="2"/>
  <c r="J69" i="2"/>
  <c r="J61" i="2"/>
  <c r="J53" i="2"/>
  <c r="K53" i="2"/>
  <c r="J45" i="2"/>
  <c r="K45" i="2"/>
  <c r="J37" i="2"/>
  <c r="J29" i="2"/>
  <c r="J21" i="2"/>
  <c r="K21" i="2"/>
  <c r="J13" i="2"/>
  <c r="K13" i="2"/>
  <c r="J5" i="2"/>
  <c r="J255" i="2"/>
  <c r="D255" i="2"/>
  <c r="K255" i="2" s="1"/>
  <c r="J199" i="2"/>
  <c r="D199" i="2"/>
  <c r="K199" i="2" s="1"/>
  <c r="J151" i="2"/>
  <c r="D151" i="2"/>
  <c r="M151" i="2" s="1"/>
  <c r="K151" i="2"/>
  <c r="J111" i="2"/>
  <c r="D111" i="2"/>
  <c r="K111" i="2" s="1"/>
  <c r="J63" i="2"/>
  <c r="D63" i="2"/>
  <c r="K63" i="2" s="1"/>
  <c r="J15" i="2"/>
  <c r="D15" i="2"/>
  <c r="K15" i="2" s="1"/>
  <c r="J270" i="2"/>
  <c r="D270" i="2"/>
  <c r="K270" i="2" s="1"/>
  <c r="J222" i="2"/>
  <c r="D222" i="2"/>
  <c r="K222" i="2" s="1"/>
  <c r="J134" i="2"/>
  <c r="D134" i="2"/>
  <c r="K134" i="2" s="1"/>
  <c r="J62" i="2"/>
  <c r="D62" i="2"/>
  <c r="K62" i="2" s="1"/>
  <c r="J269" i="2"/>
  <c r="J221" i="2"/>
  <c r="J173" i="2"/>
  <c r="J117" i="2"/>
  <c r="K117" i="2"/>
  <c r="D173" i="2"/>
  <c r="K173" i="2" s="1"/>
  <c r="D77" i="2"/>
  <c r="K77" i="2" s="1"/>
  <c r="D263" i="2"/>
  <c r="K263" i="2" s="1"/>
  <c r="J263" i="2"/>
  <c r="J215" i="2"/>
  <c r="D215" i="2"/>
  <c r="K215" i="2" s="1"/>
  <c r="J167" i="2"/>
  <c r="D167" i="2"/>
  <c r="K167" i="2" s="1"/>
  <c r="J119" i="2"/>
  <c r="D119" i="2"/>
  <c r="M119" i="2" s="1"/>
  <c r="J95" i="2"/>
  <c r="D95" i="2"/>
  <c r="K95" i="2" s="1"/>
  <c r="J47" i="2"/>
  <c r="D47" i="2"/>
  <c r="K47" i="2" s="1"/>
  <c r="J278" i="2"/>
  <c r="D278" i="2"/>
  <c r="K278" i="2" s="1"/>
  <c r="J238" i="2"/>
  <c r="D238" i="2"/>
  <c r="K238" i="2" s="1"/>
  <c r="J190" i="2"/>
  <c r="D190" i="2"/>
  <c r="K190" i="2" s="1"/>
  <c r="J174" i="2"/>
  <c r="D174" i="2"/>
  <c r="K174" i="2" s="1"/>
  <c r="J126" i="2"/>
  <c r="D126" i="2"/>
  <c r="K126" i="2" s="1"/>
  <c r="J102" i="2"/>
  <c r="D102" i="2"/>
  <c r="M102" i="2" s="1"/>
  <c r="J78" i="2"/>
  <c r="D78" i="2"/>
  <c r="K78" i="2" s="1"/>
  <c r="J285" i="2"/>
  <c r="J253" i="2"/>
  <c r="J213" i="2"/>
  <c r="K213" i="2"/>
  <c r="J181" i="2"/>
  <c r="K181" i="2"/>
  <c r="J141" i="2"/>
  <c r="D141" i="2"/>
  <c r="K141" i="2" s="1"/>
  <c r="D165" i="2"/>
  <c r="K165" i="2" s="1"/>
  <c r="D101" i="2"/>
  <c r="K101" i="2" s="1"/>
  <c r="D69" i="2"/>
  <c r="K69" i="2" s="1"/>
  <c r="D37" i="2"/>
  <c r="K37" i="2" s="1"/>
  <c r="D5" i="2"/>
  <c r="K5" i="2" s="1"/>
  <c r="J231" i="2"/>
  <c r="D231" i="2"/>
  <c r="K231" i="2" s="1"/>
  <c r="J191" i="2"/>
  <c r="D191" i="2"/>
  <c r="K191" i="2" s="1"/>
  <c r="J143" i="2"/>
  <c r="D143" i="2"/>
  <c r="K143" i="2" s="1"/>
  <c r="J87" i="2"/>
  <c r="D87" i="2"/>
  <c r="K87" i="2" s="1"/>
  <c r="J39" i="2"/>
  <c r="D39" i="2"/>
  <c r="K39" i="2" s="1"/>
  <c r="J262" i="2"/>
  <c r="D262" i="2"/>
  <c r="K262" i="2" s="1"/>
  <c r="J198" i="2"/>
  <c r="D198" i="2"/>
  <c r="K198" i="2" s="1"/>
  <c r="J150" i="2"/>
  <c r="D150" i="2"/>
  <c r="K150" i="2" s="1"/>
  <c r="J70" i="2"/>
  <c r="D70" i="2"/>
  <c r="M70" i="2" s="1"/>
  <c r="J277" i="2"/>
  <c r="K277" i="2"/>
  <c r="J237" i="2"/>
  <c r="K237" i="2"/>
  <c r="J189" i="2"/>
  <c r="J133" i="2"/>
  <c r="K133" i="2"/>
  <c r="D269" i="2"/>
  <c r="K269" i="2" s="1"/>
  <c r="D205" i="2"/>
  <c r="K205" i="2" s="1"/>
  <c r="D109" i="2"/>
  <c r="K109" i="2" s="1"/>
  <c r="J247" i="2"/>
  <c r="D247" i="2"/>
  <c r="K247" i="2" s="1"/>
  <c r="J207" i="2"/>
  <c r="D207" i="2"/>
  <c r="K207" i="2" s="1"/>
  <c r="J159" i="2"/>
  <c r="D159" i="2"/>
  <c r="K159" i="2" s="1"/>
  <c r="J103" i="2"/>
  <c r="D103" i="2"/>
  <c r="K103" i="2" s="1"/>
  <c r="J55" i="2"/>
  <c r="D55" i="2"/>
  <c r="K55" i="2" s="1"/>
  <c r="J254" i="2"/>
  <c r="D254" i="2"/>
  <c r="K254" i="2" s="1"/>
  <c r="J206" i="2"/>
  <c r="D206" i="2"/>
  <c r="K206" i="2" s="1"/>
  <c r="J142" i="2"/>
  <c r="D142" i="2"/>
  <c r="K142" i="2" s="1"/>
  <c r="J54" i="2"/>
  <c r="D54" i="2"/>
  <c r="K54" i="2" s="1"/>
  <c r="J261" i="2"/>
  <c r="K261" i="2"/>
  <c r="J229" i="2"/>
  <c r="K229" i="2"/>
  <c r="J197" i="2"/>
  <c r="K197" i="2"/>
  <c r="J157" i="2"/>
  <c r="J125" i="2"/>
  <c r="J280" i="2"/>
  <c r="D280" i="2"/>
  <c r="K280" i="2" s="1"/>
  <c r="J272" i="2"/>
  <c r="D272" i="2"/>
  <c r="K272" i="2" s="1"/>
  <c r="J264" i="2"/>
  <c r="D264" i="2"/>
  <c r="K264" i="2" s="1"/>
  <c r="J256" i="2"/>
  <c r="D256" i="2"/>
  <c r="K256" i="2" s="1"/>
  <c r="J248" i="2"/>
  <c r="D248" i="2"/>
  <c r="K248" i="2" s="1"/>
  <c r="J240" i="2"/>
  <c r="D240" i="2"/>
  <c r="K240" i="2" s="1"/>
  <c r="J232" i="2"/>
  <c r="D232" i="2"/>
  <c r="K232" i="2" s="1"/>
  <c r="J224" i="2"/>
  <c r="D224" i="2"/>
  <c r="K224" i="2" s="1"/>
  <c r="J216" i="2"/>
  <c r="D216" i="2"/>
  <c r="K216" i="2" s="1"/>
  <c r="D285" i="2"/>
  <c r="K285" i="2" s="1"/>
  <c r="D253" i="2"/>
  <c r="K253" i="2" s="1"/>
  <c r="D221" i="2"/>
  <c r="K221" i="2" s="1"/>
  <c r="D189" i="2"/>
  <c r="K189" i="2" s="1"/>
  <c r="D157" i="2"/>
  <c r="K157" i="2" s="1"/>
  <c r="D125" i="2"/>
  <c r="K125" i="2" s="1"/>
  <c r="D93" i="2"/>
  <c r="K93" i="2" s="1"/>
  <c r="D61" i="2"/>
  <c r="K61" i="2" s="1"/>
  <c r="D29" i="2"/>
  <c r="K29" i="2" s="1"/>
  <c r="D283" i="2"/>
  <c r="M283" i="2" s="1"/>
  <c r="D275" i="2"/>
  <c r="M275" i="2" s="1"/>
  <c r="D267" i="2"/>
  <c r="K267" i="2" s="1"/>
  <c r="D259" i="2"/>
  <c r="K259" i="2" s="1"/>
  <c r="D251" i="2"/>
  <c r="K251" i="2" s="1"/>
  <c r="D243" i="2"/>
  <c r="K243" i="2" s="1"/>
  <c r="D235" i="2"/>
  <c r="M235" i="2" s="1"/>
  <c r="D227" i="2"/>
  <c r="M227" i="2" s="1"/>
  <c r="D219" i="2"/>
  <c r="K219" i="2" s="1"/>
  <c r="D211" i="2"/>
  <c r="K211" i="2" s="1"/>
  <c r="D203" i="2"/>
  <c r="K203" i="2" s="1"/>
  <c r="D195" i="2"/>
  <c r="K195" i="2" s="1"/>
  <c r="D187" i="2"/>
  <c r="K187" i="2" s="1"/>
  <c r="D179" i="2"/>
  <c r="K179" i="2" s="1"/>
  <c r="D171" i="2"/>
  <c r="K171" i="2" s="1"/>
  <c r="D163" i="2"/>
  <c r="K163" i="2" s="1"/>
  <c r="D155" i="2"/>
  <c r="K155" i="2" s="1"/>
  <c r="D147" i="2"/>
  <c r="K147" i="2" s="1"/>
  <c r="D139" i="2"/>
  <c r="K139" i="2" s="1"/>
  <c r="D131" i="2"/>
  <c r="K131" i="2" s="1"/>
  <c r="D123" i="2"/>
  <c r="K123" i="2" s="1"/>
  <c r="D115" i="2"/>
  <c r="K115" i="2" s="1"/>
  <c r="D107" i="2"/>
  <c r="K107" i="2" s="1"/>
  <c r="D99" i="2"/>
  <c r="M99" i="2" s="1"/>
  <c r="D91" i="2"/>
  <c r="K91" i="2" s="1"/>
  <c r="D83" i="2"/>
  <c r="K83" i="2" s="1"/>
  <c r="D75" i="2"/>
  <c r="K75" i="2" s="1"/>
  <c r="D67" i="2"/>
  <c r="K67" i="2" s="1"/>
  <c r="D59" i="2"/>
  <c r="K59" i="2" s="1"/>
  <c r="D51" i="2"/>
  <c r="K51" i="2" s="1"/>
  <c r="D43" i="2"/>
  <c r="K43" i="2" s="1"/>
  <c r="D35" i="2"/>
  <c r="M35" i="2" s="1"/>
  <c r="D27" i="2"/>
  <c r="K27" i="2" s="1"/>
  <c r="D19" i="2"/>
  <c r="K19" i="2" s="1"/>
  <c r="D11" i="2"/>
  <c r="K11" i="2" s="1"/>
  <c r="D3" i="2"/>
  <c r="K3" i="2" s="1"/>
  <c r="D282" i="2"/>
  <c r="K282" i="2" s="1"/>
  <c r="D274" i="2"/>
  <c r="K274" i="2" s="1"/>
  <c r="D266" i="2"/>
  <c r="M266" i="2" s="1"/>
  <c r="D258" i="2"/>
  <c r="M258" i="2" s="1"/>
  <c r="D250" i="2"/>
  <c r="K250" i="2" s="1"/>
  <c r="D242" i="2"/>
  <c r="M242" i="2" s="1"/>
  <c r="D234" i="2"/>
  <c r="M234" i="2" s="1"/>
  <c r="D226" i="2"/>
  <c r="K226" i="2" s="1"/>
  <c r="D218" i="2"/>
  <c r="K218" i="2" s="1"/>
  <c r="D210" i="2"/>
  <c r="K210" i="2" s="1"/>
  <c r="D202" i="2"/>
  <c r="M202" i="2" s="1"/>
  <c r="D194" i="2"/>
  <c r="K194" i="2" s="1"/>
  <c r="D186" i="2"/>
  <c r="M186" i="2" s="1"/>
  <c r="D178" i="2"/>
  <c r="K178" i="2" s="1"/>
  <c r="D170" i="2"/>
  <c r="K170" i="2" s="1"/>
  <c r="D162" i="2"/>
  <c r="K162" i="2" s="1"/>
  <c r="D154" i="2"/>
  <c r="K154" i="2" s="1"/>
  <c r="D146" i="2"/>
  <c r="K146" i="2" s="1"/>
  <c r="D138" i="2"/>
  <c r="K138" i="2" s="1"/>
  <c r="D130" i="2"/>
  <c r="K130" i="2" s="1"/>
  <c r="D122" i="2"/>
  <c r="K122" i="2" s="1"/>
  <c r="D114" i="2"/>
  <c r="K114" i="2" s="1"/>
  <c r="D106" i="2"/>
  <c r="K106" i="2" s="1"/>
  <c r="D98" i="2"/>
  <c r="K98" i="2" s="1"/>
  <c r="D90" i="2"/>
  <c r="K90" i="2" s="1"/>
  <c r="D82" i="2"/>
  <c r="K82" i="2" s="1"/>
  <c r="D74" i="2"/>
  <c r="K74" i="2" s="1"/>
  <c r="D66" i="2"/>
  <c r="K66" i="2" s="1"/>
  <c r="D58" i="2"/>
  <c r="K58" i="2" s="1"/>
  <c r="D50" i="2"/>
  <c r="K50" i="2" s="1"/>
  <c r="D42" i="2"/>
  <c r="K42" i="2" s="1"/>
  <c r="D34" i="2"/>
  <c r="K34" i="2" s="1"/>
  <c r="D26" i="2"/>
  <c r="K26" i="2" s="1"/>
  <c r="D18" i="2"/>
  <c r="K18" i="2" s="1"/>
  <c r="D10" i="2"/>
  <c r="K10" i="2" s="1"/>
  <c r="D2" i="2"/>
  <c r="K2" i="2" s="1"/>
  <c r="D281" i="2"/>
  <c r="K281" i="2" s="1"/>
  <c r="D273" i="2"/>
  <c r="K273" i="2" s="1"/>
  <c r="D265" i="2"/>
  <c r="K265" i="2" s="1"/>
  <c r="D257" i="2"/>
  <c r="K257" i="2" s="1"/>
  <c r="D249" i="2"/>
  <c r="K249" i="2" s="1"/>
  <c r="D241" i="2"/>
  <c r="K241" i="2" s="1"/>
  <c r="D233" i="2"/>
  <c r="K233" i="2" s="1"/>
  <c r="D225" i="2"/>
  <c r="K225" i="2" s="1"/>
  <c r="D217" i="2"/>
  <c r="K217" i="2" s="1"/>
  <c r="D209" i="2"/>
  <c r="K209" i="2" s="1"/>
  <c r="D201" i="2"/>
  <c r="K201" i="2" s="1"/>
  <c r="D193" i="2"/>
  <c r="K193" i="2" s="1"/>
  <c r="D185" i="2"/>
  <c r="K185" i="2" s="1"/>
  <c r="D177" i="2"/>
  <c r="K177" i="2" s="1"/>
  <c r="D169" i="2"/>
  <c r="K169" i="2" s="1"/>
  <c r="D161" i="2"/>
  <c r="K161" i="2" s="1"/>
  <c r="D153" i="2"/>
  <c r="K153" i="2" s="1"/>
  <c r="D145" i="2"/>
  <c r="K145" i="2" s="1"/>
  <c r="D137" i="2"/>
  <c r="K137" i="2" s="1"/>
  <c r="D129" i="2"/>
  <c r="K129" i="2" s="1"/>
  <c r="D121" i="2"/>
  <c r="K121" i="2" s="1"/>
  <c r="D113" i="2"/>
  <c r="K113" i="2" s="1"/>
  <c r="D105" i="2"/>
  <c r="K105" i="2" s="1"/>
  <c r="D97" i="2"/>
  <c r="K97" i="2" s="1"/>
  <c r="D89" i="2"/>
  <c r="K89" i="2" s="1"/>
  <c r="D81" i="2"/>
  <c r="K81" i="2" s="1"/>
  <c r="D73" i="2"/>
  <c r="K73" i="2" s="1"/>
  <c r="D65" i="2"/>
  <c r="K65" i="2" s="1"/>
  <c r="D57" i="2"/>
  <c r="K57" i="2" s="1"/>
  <c r="D49" i="2"/>
  <c r="K49" i="2" s="1"/>
  <c r="D41" i="2"/>
  <c r="K41" i="2" s="1"/>
  <c r="D33" i="2"/>
  <c r="K33" i="2" s="1"/>
  <c r="D25" i="2"/>
  <c r="K25" i="2" s="1"/>
  <c r="D17" i="2"/>
  <c r="K17" i="2" s="1"/>
  <c r="D9" i="2"/>
  <c r="K9" i="2" s="1"/>
  <c r="D208" i="2"/>
  <c r="K208" i="2" s="1"/>
  <c r="D200" i="2"/>
  <c r="K200" i="2" s="1"/>
  <c r="D192" i="2"/>
  <c r="K192" i="2" s="1"/>
  <c r="D184" i="2"/>
  <c r="K184" i="2" s="1"/>
  <c r="D176" i="2"/>
  <c r="K176" i="2" s="1"/>
  <c r="D168" i="2"/>
  <c r="K168" i="2" s="1"/>
  <c r="D160" i="2"/>
  <c r="K160" i="2" s="1"/>
  <c r="D152" i="2"/>
  <c r="K152" i="2" s="1"/>
  <c r="D144" i="2"/>
  <c r="K144" i="2" s="1"/>
  <c r="D136" i="2"/>
  <c r="K136" i="2" s="1"/>
  <c r="D128" i="2"/>
  <c r="K128" i="2" s="1"/>
  <c r="D120" i="2"/>
  <c r="K120" i="2" s="1"/>
  <c r="D112" i="2"/>
  <c r="K112" i="2" s="1"/>
  <c r="D104" i="2"/>
  <c r="K104" i="2" s="1"/>
  <c r="D96" i="2"/>
  <c r="K96" i="2" s="1"/>
  <c r="D80" i="2"/>
  <c r="K80" i="2" s="1"/>
  <c r="D72" i="2"/>
  <c r="K72" i="2" s="1"/>
  <c r="D64" i="2"/>
  <c r="K64" i="2" s="1"/>
  <c r="D56" i="2"/>
  <c r="K56" i="2" s="1"/>
  <c r="D48" i="2"/>
  <c r="K48" i="2" s="1"/>
  <c r="D40" i="2"/>
  <c r="K40" i="2" s="1"/>
  <c r="D32" i="2"/>
  <c r="K32" i="2" s="1"/>
  <c r="D24" i="2"/>
  <c r="K24" i="2" s="1"/>
  <c r="D16" i="2"/>
  <c r="K16" i="2" s="1"/>
  <c r="D8" i="2"/>
  <c r="K8" i="2" s="1"/>
  <c r="K212" i="2"/>
  <c r="D7" i="2"/>
  <c r="K7" i="2" s="1"/>
  <c r="K275" i="2"/>
  <c r="K235" i="2"/>
  <c r="K242" i="2"/>
  <c r="K36" i="2" l="1"/>
  <c r="K132" i="2"/>
  <c r="K156" i="2"/>
  <c r="K180" i="2"/>
  <c r="K228" i="2"/>
  <c r="K92" i="2"/>
  <c r="M100" i="2"/>
  <c r="M150" i="2"/>
  <c r="K70" i="2"/>
  <c r="M79" i="2"/>
  <c r="K140" i="2"/>
  <c r="M123" i="2"/>
  <c r="K76" i="2"/>
  <c r="K119" i="2"/>
  <c r="K23" i="2"/>
  <c r="M164" i="2"/>
  <c r="M183" i="2"/>
  <c r="M69" i="2"/>
  <c r="K234" i="2"/>
  <c r="M205" i="2"/>
  <c r="K276" i="2"/>
  <c r="K258" i="2"/>
  <c r="K124" i="2"/>
  <c r="M22" i="2"/>
  <c r="K108" i="2"/>
  <c r="M59" i="2"/>
  <c r="M88" i="2"/>
  <c r="M138" i="2"/>
  <c r="M83" i="2"/>
  <c r="M44" i="2"/>
  <c r="M86" i="2"/>
  <c r="M47" i="2"/>
  <c r="M247" i="2"/>
  <c r="M251" i="2"/>
  <c r="M128" i="2"/>
  <c r="K202" i="2"/>
  <c r="M194" i="2"/>
  <c r="M115" i="2"/>
  <c r="M68" i="2"/>
  <c r="M196" i="2"/>
  <c r="M94" i="2"/>
  <c r="M55" i="2"/>
  <c r="M271" i="2"/>
  <c r="M218" i="2"/>
  <c r="M274" i="2"/>
  <c r="M232" i="2"/>
  <c r="K84" i="2"/>
  <c r="M2" i="2"/>
  <c r="M11" i="2"/>
  <c r="M147" i="2"/>
  <c r="M236" i="2"/>
  <c r="M214" i="2"/>
  <c r="M111" i="2"/>
  <c r="M17" i="2"/>
  <c r="M77" i="2"/>
  <c r="M24" i="2"/>
  <c r="M10" i="2"/>
  <c r="M19" i="2"/>
  <c r="M179" i="2"/>
  <c r="M116" i="2"/>
  <c r="M244" i="2"/>
  <c r="M222" i="2"/>
  <c r="M81" i="2"/>
  <c r="M221" i="2"/>
  <c r="K266" i="2"/>
  <c r="K220" i="2"/>
  <c r="M66" i="2"/>
  <c r="M51" i="2"/>
  <c r="M187" i="2"/>
  <c r="M278" i="2"/>
  <c r="M175" i="2"/>
  <c r="M145" i="2"/>
  <c r="M211" i="2"/>
  <c r="M74" i="2"/>
  <c r="M64" i="2"/>
  <c r="M130" i="2"/>
  <c r="M75" i="2"/>
  <c r="M172" i="2"/>
  <c r="M30" i="2"/>
  <c r="M239" i="2"/>
  <c r="M152" i="2"/>
  <c r="M25" i="2"/>
  <c r="M269" i="2"/>
  <c r="M285" i="2"/>
  <c r="M281" i="2"/>
  <c r="K35" i="2"/>
  <c r="K283" i="2"/>
  <c r="K102" i="2"/>
  <c r="M18" i="2"/>
  <c r="M82" i="2"/>
  <c r="M146" i="2"/>
  <c r="M3" i="2"/>
  <c r="M67" i="2"/>
  <c r="M131" i="2"/>
  <c r="M195" i="2"/>
  <c r="M52" i="2"/>
  <c r="M38" i="2"/>
  <c r="M166" i="2"/>
  <c r="M230" i="2"/>
  <c r="M63" i="2"/>
  <c r="M127" i="2"/>
  <c r="M191" i="2"/>
  <c r="M255" i="2"/>
  <c r="M33" i="2"/>
  <c r="M97" i="2"/>
  <c r="M161" i="2"/>
  <c r="M209" i="2"/>
  <c r="M184" i="2"/>
  <c r="M93" i="2"/>
  <c r="M224" i="2"/>
  <c r="M192" i="2"/>
  <c r="M273" i="2"/>
  <c r="M265" i="2"/>
  <c r="M48" i="2"/>
  <c r="M112" i="2"/>
  <c r="M176" i="2"/>
  <c r="M241" i="2"/>
  <c r="M26" i="2"/>
  <c r="M90" i="2"/>
  <c r="M154" i="2"/>
  <c r="M139" i="2"/>
  <c r="M60" i="2"/>
  <c r="M188" i="2"/>
  <c r="M252" i="2"/>
  <c r="M46" i="2"/>
  <c r="M110" i="2"/>
  <c r="M174" i="2"/>
  <c r="M238" i="2"/>
  <c r="M7" i="2"/>
  <c r="M71" i="2"/>
  <c r="M135" i="2"/>
  <c r="M199" i="2"/>
  <c r="M263" i="2"/>
  <c r="M41" i="2"/>
  <c r="M105" i="2"/>
  <c r="M169" i="2"/>
  <c r="M259" i="2"/>
  <c r="M284" i="2"/>
  <c r="M280" i="2"/>
  <c r="M101" i="2"/>
  <c r="M216" i="2"/>
  <c r="M8" i="2"/>
  <c r="M72" i="2"/>
  <c r="M136" i="2"/>
  <c r="K186" i="2"/>
  <c r="M34" i="2"/>
  <c r="M98" i="2"/>
  <c r="M162" i="2"/>
  <c r="M4" i="2"/>
  <c r="M260" i="2"/>
  <c r="M54" i="2"/>
  <c r="M118" i="2"/>
  <c r="M182" i="2"/>
  <c r="M246" i="2"/>
  <c r="M15" i="2"/>
  <c r="M143" i="2"/>
  <c r="M207" i="2"/>
  <c r="M49" i="2"/>
  <c r="M113" i="2"/>
  <c r="M177" i="2"/>
  <c r="M264" i="2"/>
  <c r="M219" i="2"/>
  <c r="M282" i="2"/>
  <c r="M5" i="2"/>
  <c r="M125" i="2"/>
  <c r="M240" i="2"/>
  <c r="M32" i="2"/>
  <c r="M96" i="2"/>
  <c r="M160" i="2"/>
  <c r="M153" i="2"/>
  <c r="M42" i="2"/>
  <c r="M106" i="2"/>
  <c r="M170" i="2"/>
  <c r="M27" i="2"/>
  <c r="M91" i="2"/>
  <c r="M155" i="2"/>
  <c r="M12" i="2"/>
  <c r="M204" i="2"/>
  <c r="M62" i="2"/>
  <c r="M126" i="2"/>
  <c r="M190" i="2"/>
  <c r="M254" i="2"/>
  <c r="M87" i="2"/>
  <c r="M215" i="2"/>
  <c r="M279" i="2"/>
  <c r="M57" i="2"/>
  <c r="M121" i="2"/>
  <c r="M185" i="2"/>
  <c r="M243" i="2"/>
  <c r="M249" i="2"/>
  <c r="M109" i="2"/>
  <c r="M257" i="2"/>
  <c r="M29" i="2"/>
  <c r="M141" i="2"/>
  <c r="M248" i="2"/>
  <c r="M256" i="2"/>
  <c r="M56" i="2"/>
  <c r="M120" i="2"/>
  <c r="M208" i="2"/>
  <c r="M158" i="2"/>
  <c r="M89" i="2"/>
  <c r="K99" i="2"/>
  <c r="M50" i="2"/>
  <c r="M114" i="2"/>
  <c r="M178" i="2"/>
  <c r="M163" i="2"/>
  <c r="M20" i="2"/>
  <c r="M148" i="2"/>
  <c r="M6" i="2"/>
  <c r="M134" i="2"/>
  <c r="M198" i="2"/>
  <c r="M262" i="2"/>
  <c r="M31" i="2"/>
  <c r="M95" i="2"/>
  <c r="M159" i="2"/>
  <c r="M223" i="2"/>
  <c r="M65" i="2"/>
  <c r="M129" i="2"/>
  <c r="M193" i="2"/>
  <c r="M203" i="2"/>
  <c r="M267" i="2"/>
  <c r="M253" i="2"/>
  <c r="M272" i="2"/>
  <c r="M157" i="2"/>
  <c r="M37" i="2"/>
  <c r="M165" i="2"/>
  <c r="M233" i="2"/>
  <c r="M226" i="2"/>
  <c r="M210" i="2"/>
  <c r="M16" i="2"/>
  <c r="M80" i="2"/>
  <c r="M144" i="2"/>
  <c r="M250" i="2"/>
  <c r="K227" i="2"/>
  <c r="M58" i="2"/>
  <c r="M122" i="2"/>
  <c r="M43" i="2"/>
  <c r="M107" i="2"/>
  <c r="M171" i="2"/>
  <c r="M28" i="2"/>
  <c r="M14" i="2"/>
  <c r="M78" i="2"/>
  <c r="M142" i="2"/>
  <c r="M206" i="2"/>
  <c r="M270" i="2"/>
  <c r="M39" i="2"/>
  <c r="M103" i="2"/>
  <c r="M167" i="2"/>
  <c r="M231" i="2"/>
  <c r="M9" i="2"/>
  <c r="M73" i="2"/>
  <c r="M137" i="2"/>
  <c r="M201" i="2"/>
  <c r="M200" i="2"/>
  <c r="M268" i="2"/>
  <c r="M173" i="2"/>
  <c r="M61" i="2"/>
  <c r="M189" i="2"/>
  <c r="M225" i="2"/>
  <c r="M217" i="2"/>
  <c r="M40" i="2"/>
  <c r="M104" i="2"/>
  <c r="M168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G2" i="2"/>
  <c r="N2" i="2" s="1"/>
  <c r="G3" i="2"/>
  <c r="N3" i="2" s="1"/>
  <c r="G4" i="2"/>
  <c r="N4" i="2" s="1"/>
  <c r="G5" i="2"/>
  <c r="N5" i="2" s="1"/>
  <c r="G6" i="2"/>
  <c r="N6" i="2" s="1"/>
  <c r="G7" i="2"/>
  <c r="N7" i="2" s="1"/>
  <c r="G8" i="2"/>
  <c r="N8" i="2" s="1"/>
  <c r="G9" i="2"/>
  <c r="N9" i="2" s="1"/>
  <c r="G10" i="2"/>
  <c r="N10" i="2" s="1"/>
  <c r="G11" i="2"/>
  <c r="N11" i="2" s="1"/>
  <c r="G12" i="2"/>
  <c r="N12" i="2" s="1"/>
  <c r="G13" i="2"/>
  <c r="N13" i="2" s="1"/>
  <c r="G14" i="2"/>
  <c r="N14" i="2" s="1"/>
  <c r="G15" i="2"/>
  <c r="N15" i="2" s="1"/>
  <c r="G16" i="2"/>
  <c r="N16" i="2" s="1"/>
  <c r="G17" i="2"/>
  <c r="N17" i="2" s="1"/>
  <c r="G18" i="2"/>
  <c r="N18" i="2" s="1"/>
  <c r="G19" i="2"/>
  <c r="N19" i="2" s="1"/>
  <c r="G20" i="2"/>
  <c r="N20" i="2" s="1"/>
  <c r="G21" i="2"/>
  <c r="N21" i="2" s="1"/>
  <c r="G22" i="2"/>
  <c r="N22" i="2" s="1"/>
  <c r="G23" i="2"/>
  <c r="N23" i="2" s="1"/>
  <c r="G24" i="2"/>
  <c r="N24" i="2" s="1"/>
  <c r="G25" i="2"/>
  <c r="N25" i="2" s="1"/>
  <c r="G26" i="2"/>
  <c r="N26" i="2" s="1"/>
  <c r="G27" i="2"/>
  <c r="N27" i="2" s="1"/>
  <c r="G28" i="2"/>
  <c r="N28" i="2" s="1"/>
  <c r="G29" i="2"/>
  <c r="N29" i="2" s="1"/>
  <c r="G30" i="2"/>
  <c r="N30" i="2" s="1"/>
  <c r="G31" i="2"/>
  <c r="N31" i="2" s="1"/>
  <c r="G32" i="2"/>
  <c r="N32" i="2" s="1"/>
  <c r="G33" i="2"/>
  <c r="N33" i="2" s="1"/>
  <c r="G34" i="2"/>
  <c r="N34" i="2" s="1"/>
  <c r="G35" i="2"/>
  <c r="N35" i="2" s="1"/>
  <c r="G36" i="2"/>
  <c r="N36" i="2" s="1"/>
  <c r="G37" i="2"/>
  <c r="N37" i="2" s="1"/>
  <c r="G38" i="2"/>
  <c r="N38" i="2" s="1"/>
  <c r="G39" i="2"/>
  <c r="N39" i="2" s="1"/>
  <c r="G40" i="2"/>
  <c r="N40" i="2" s="1"/>
  <c r="G41" i="2"/>
  <c r="N41" i="2" s="1"/>
  <c r="G42" i="2"/>
  <c r="N42" i="2" s="1"/>
  <c r="G43" i="2"/>
  <c r="N43" i="2" s="1"/>
  <c r="G44" i="2"/>
  <c r="N44" i="2" s="1"/>
  <c r="G45" i="2"/>
  <c r="N45" i="2" s="1"/>
  <c r="G46" i="2"/>
  <c r="N46" i="2" s="1"/>
  <c r="G47" i="2"/>
  <c r="N47" i="2" s="1"/>
  <c r="G48" i="2"/>
  <c r="N48" i="2" s="1"/>
  <c r="G49" i="2"/>
  <c r="N49" i="2" s="1"/>
  <c r="G50" i="2"/>
  <c r="G51" i="2"/>
  <c r="N51" i="2" s="1"/>
  <c r="G52" i="2"/>
  <c r="N52" i="2" s="1"/>
  <c r="G53" i="2"/>
  <c r="N53" i="2" s="1"/>
  <c r="G54" i="2"/>
  <c r="N54" i="2" s="1"/>
  <c r="G55" i="2"/>
  <c r="N55" i="2" s="1"/>
  <c r="G56" i="2"/>
  <c r="N56" i="2" s="1"/>
  <c r="G57" i="2"/>
  <c r="N57" i="2" s="1"/>
  <c r="G58" i="2"/>
  <c r="G59" i="2"/>
  <c r="N59" i="2" s="1"/>
  <c r="G60" i="2"/>
  <c r="N60" i="2" s="1"/>
  <c r="G61" i="2"/>
  <c r="N61" i="2" s="1"/>
  <c r="G62" i="2"/>
  <c r="N62" i="2" s="1"/>
  <c r="G63" i="2"/>
  <c r="N63" i="2" s="1"/>
  <c r="G64" i="2"/>
  <c r="N64" i="2" s="1"/>
  <c r="G65" i="2"/>
  <c r="N65" i="2" s="1"/>
  <c r="G66" i="2"/>
  <c r="G67" i="2"/>
  <c r="N67" i="2" s="1"/>
  <c r="G68" i="2"/>
  <c r="N68" i="2" s="1"/>
  <c r="G69" i="2"/>
  <c r="N69" i="2" s="1"/>
  <c r="G70" i="2"/>
  <c r="N70" i="2" s="1"/>
  <c r="G71" i="2"/>
  <c r="N71" i="2" s="1"/>
  <c r="G72" i="2"/>
  <c r="N72" i="2" s="1"/>
  <c r="G73" i="2"/>
  <c r="N73" i="2" s="1"/>
  <c r="G74" i="2"/>
  <c r="N74" i="2" s="1"/>
  <c r="G75" i="2"/>
  <c r="N75" i="2" s="1"/>
  <c r="G76" i="2"/>
  <c r="N76" i="2" s="1"/>
  <c r="G77" i="2"/>
  <c r="N77" i="2" s="1"/>
  <c r="G78" i="2"/>
  <c r="N78" i="2" s="1"/>
  <c r="G79" i="2"/>
  <c r="N79" i="2" s="1"/>
  <c r="G80" i="2"/>
  <c r="N80" i="2" s="1"/>
  <c r="G81" i="2"/>
  <c r="N81" i="2" s="1"/>
  <c r="G82" i="2"/>
  <c r="G83" i="2"/>
  <c r="N83" i="2" s="1"/>
  <c r="G84" i="2"/>
  <c r="N84" i="2" s="1"/>
  <c r="G85" i="2"/>
  <c r="N85" i="2" s="1"/>
  <c r="G86" i="2"/>
  <c r="N86" i="2" s="1"/>
  <c r="G87" i="2"/>
  <c r="N87" i="2" s="1"/>
  <c r="G88" i="2"/>
  <c r="N88" i="2" s="1"/>
  <c r="G89" i="2"/>
  <c r="N89" i="2" s="1"/>
  <c r="G90" i="2"/>
  <c r="G91" i="2"/>
  <c r="N91" i="2" s="1"/>
  <c r="G92" i="2"/>
  <c r="N92" i="2" s="1"/>
  <c r="G93" i="2"/>
  <c r="N93" i="2" s="1"/>
  <c r="G94" i="2"/>
  <c r="N94" i="2" s="1"/>
  <c r="G95" i="2"/>
  <c r="N95" i="2" s="1"/>
  <c r="G96" i="2"/>
  <c r="N96" i="2" s="1"/>
  <c r="G97" i="2"/>
  <c r="N97" i="2" s="1"/>
  <c r="G98" i="2"/>
  <c r="G99" i="2"/>
  <c r="N99" i="2" s="1"/>
  <c r="G100" i="2"/>
  <c r="N100" i="2" s="1"/>
  <c r="G101" i="2"/>
  <c r="N101" i="2" s="1"/>
  <c r="G102" i="2"/>
  <c r="N102" i="2" s="1"/>
  <c r="G103" i="2"/>
  <c r="N103" i="2" s="1"/>
  <c r="G104" i="2"/>
  <c r="N104" i="2" s="1"/>
  <c r="G105" i="2"/>
  <c r="N105" i="2" s="1"/>
  <c r="G106" i="2"/>
  <c r="N106" i="2" s="1"/>
  <c r="G107" i="2"/>
  <c r="N107" i="2" s="1"/>
  <c r="G108" i="2"/>
  <c r="N108" i="2" s="1"/>
  <c r="G109" i="2"/>
  <c r="N109" i="2" s="1"/>
  <c r="G110" i="2"/>
  <c r="N110" i="2" s="1"/>
  <c r="G111" i="2"/>
  <c r="N111" i="2" s="1"/>
  <c r="G112" i="2"/>
  <c r="N112" i="2" s="1"/>
  <c r="G113" i="2"/>
  <c r="N113" i="2" s="1"/>
  <c r="G114" i="2"/>
  <c r="N114" i="2" s="1"/>
  <c r="G115" i="2"/>
  <c r="N115" i="2" s="1"/>
  <c r="G116" i="2"/>
  <c r="N116" i="2" s="1"/>
  <c r="G117" i="2"/>
  <c r="N117" i="2" s="1"/>
  <c r="G118" i="2"/>
  <c r="N118" i="2" s="1"/>
  <c r="G119" i="2"/>
  <c r="N119" i="2" s="1"/>
  <c r="G120" i="2"/>
  <c r="N120" i="2" s="1"/>
  <c r="G121" i="2"/>
  <c r="N121" i="2" s="1"/>
  <c r="G122" i="2"/>
  <c r="N122" i="2" s="1"/>
  <c r="G123" i="2"/>
  <c r="N123" i="2" s="1"/>
  <c r="G124" i="2"/>
  <c r="N124" i="2" s="1"/>
  <c r="G125" i="2"/>
  <c r="N125" i="2" s="1"/>
  <c r="G126" i="2"/>
  <c r="N126" i="2" s="1"/>
  <c r="G127" i="2"/>
  <c r="N127" i="2" s="1"/>
  <c r="G128" i="2"/>
  <c r="N128" i="2" s="1"/>
  <c r="G129" i="2"/>
  <c r="N129" i="2" s="1"/>
  <c r="G130" i="2"/>
  <c r="N130" i="2" s="1"/>
  <c r="G131" i="2"/>
  <c r="N131" i="2" s="1"/>
  <c r="G132" i="2"/>
  <c r="N132" i="2" s="1"/>
  <c r="G133" i="2"/>
  <c r="N133" i="2" s="1"/>
  <c r="G134" i="2"/>
  <c r="N134" i="2" s="1"/>
  <c r="G135" i="2"/>
  <c r="N135" i="2" s="1"/>
  <c r="G136" i="2"/>
  <c r="N136" i="2" s="1"/>
  <c r="G137" i="2"/>
  <c r="N137" i="2" s="1"/>
  <c r="G138" i="2"/>
  <c r="N138" i="2" s="1"/>
  <c r="G139" i="2"/>
  <c r="N139" i="2" s="1"/>
  <c r="G140" i="2"/>
  <c r="N140" i="2" s="1"/>
  <c r="G141" i="2"/>
  <c r="N141" i="2" s="1"/>
  <c r="G142" i="2"/>
  <c r="N142" i="2" s="1"/>
  <c r="G143" i="2"/>
  <c r="N143" i="2" s="1"/>
  <c r="G144" i="2"/>
  <c r="N144" i="2" s="1"/>
  <c r="G145" i="2"/>
  <c r="N145" i="2" s="1"/>
  <c r="G146" i="2"/>
  <c r="N146" i="2" s="1"/>
  <c r="G147" i="2"/>
  <c r="N147" i="2" s="1"/>
  <c r="G148" i="2"/>
  <c r="N148" i="2" s="1"/>
  <c r="G149" i="2"/>
  <c r="N149" i="2" s="1"/>
  <c r="G150" i="2"/>
  <c r="N150" i="2" s="1"/>
  <c r="G151" i="2"/>
  <c r="N151" i="2" s="1"/>
  <c r="G152" i="2"/>
  <c r="N152" i="2" s="1"/>
  <c r="G153" i="2"/>
  <c r="N153" i="2" s="1"/>
  <c r="G154" i="2"/>
  <c r="N154" i="2" s="1"/>
  <c r="G155" i="2"/>
  <c r="N155" i="2" s="1"/>
  <c r="G156" i="2"/>
  <c r="N156" i="2" s="1"/>
  <c r="G157" i="2"/>
  <c r="N157" i="2" s="1"/>
  <c r="G158" i="2"/>
  <c r="N158" i="2" s="1"/>
  <c r="G159" i="2"/>
  <c r="N159" i="2" s="1"/>
  <c r="G160" i="2"/>
  <c r="N160" i="2" s="1"/>
  <c r="G161" i="2"/>
  <c r="N161" i="2" s="1"/>
  <c r="G162" i="2"/>
  <c r="N162" i="2" s="1"/>
  <c r="G163" i="2"/>
  <c r="N163" i="2" s="1"/>
  <c r="G164" i="2"/>
  <c r="N164" i="2" s="1"/>
  <c r="G165" i="2"/>
  <c r="N165" i="2" s="1"/>
  <c r="G166" i="2"/>
  <c r="N166" i="2" s="1"/>
  <c r="G167" i="2"/>
  <c r="N167" i="2" s="1"/>
  <c r="G168" i="2"/>
  <c r="N168" i="2" s="1"/>
  <c r="G169" i="2"/>
  <c r="N169" i="2" s="1"/>
  <c r="G170" i="2"/>
  <c r="N170" i="2" s="1"/>
  <c r="G171" i="2"/>
  <c r="N171" i="2" s="1"/>
  <c r="G172" i="2"/>
  <c r="N172" i="2" s="1"/>
  <c r="G173" i="2"/>
  <c r="N173" i="2" s="1"/>
  <c r="G174" i="2"/>
  <c r="N174" i="2" s="1"/>
  <c r="G175" i="2"/>
  <c r="N175" i="2" s="1"/>
  <c r="G176" i="2"/>
  <c r="N176" i="2" s="1"/>
  <c r="G177" i="2"/>
  <c r="N177" i="2" s="1"/>
  <c r="G178" i="2"/>
  <c r="N178" i="2" s="1"/>
  <c r="G179" i="2"/>
  <c r="N179" i="2" s="1"/>
  <c r="G180" i="2"/>
  <c r="N180" i="2" s="1"/>
  <c r="G181" i="2"/>
  <c r="N181" i="2" s="1"/>
  <c r="G182" i="2"/>
  <c r="N182" i="2" s="1"/>
  <c r="G183" i="2"/>
  <c r="N183" i="2" s="1"/>
  <c r="G184" i="2"/>
  <c r="N184" i="2" s="1"/>
  <c r="G185" i="2"/>
  <c r="N185" i="2" s="1"/>
  <c r="G186" i="2"/>
  <c r="N186" i="2" s="1"/>
  <c r="G187" i="2"/>
  <c r="N187" i="2" s="1"/>
  <c r="G188" i="2"/>
  <c r="N188" i="2" s="1"/>
  <c r="G189" i="2"/>
  <c r="N189" i="2" s="1"/>
  <c r="G190" i="2"/>
  <c r="N190" i="2" s="1"/>
  <c r="G191" i="2"/>
  <c r="N191" i="2" s="1"/>
  <c r="G192" i="2"/>
  <c r="N192" i="2" s="1"/>
  <c r="G193" i="2"/>
  <c r="N193" i="2" s="1"/>
  <c r="G194" i="2"/>
  <c r="N194" i="2" s="1"/>
  <c r="G195" i="2"/>
  <c r="N195" i="2" s="1"/>
  <c r="G196" i="2"/>
  <c r="N196" i="2" s="1"/>
  <c r="G197" i="2"/>
  <c r="N197" i="2" s="1"/>
  <c r="G198" i="2"/>
  <c r="N198" i="2" s="1"/>
  <c r="G199" i="2"/>
  <c r="N199" i="2" s="1"/>
  <c r="G200" i="2"/>
  <c r="N200" i="2" s="1"/>
  <c r="G201" i="2"/>
  <c r="N201" i="2" s="1"/>
  <c r="G202" i="2"/>
  <c r="N202" i="2" s="1"/>
  <c r="G203" i="2"/>
  <c r="N203" i="2" s="1"/>
  <c r="G204" i="2"/>
  <c r="N204" i="2" s="1"/>
  <c r="G205" i="2"/>
  <c r="N205" i="2" s="1"/>
  <c r="G206" i="2"/>
  <c r="N206" i="2" s="1"/>
  <c r="G207" i="2"/>
  <c r="N207" i="2" s="1"/>
  <c r="G208" i="2"/>
  <c r="N208" i="2" s="1"/>
  <c r="G209" i="2"/>
  <c r="N209" i="2" s="1"/>
  <c r="G210" i="2"/>
  <c r="N210" i="2" s="1"/>
  <c r="G211" i="2"/>
  <c r="N211" i="2" s="1"/>
  <c r="G212" i="2"/>
  <c r="N212" i="2" s="1"/>
  <c r="G213" i="2"/>
  <c r="N213" i="2" s="1"/>
  <c r="G214" i="2"/>
  <c r="N214" i="2" s="1"/>
  <c r="G215" i="2"/>
  <c r="N215" i="2" s="1"/>
  <c r="G216" i="2"/>
  <c r="N216" i="2" s="1"/>
  <c r="G217" i="2"/>
  <c r="N217" i="2" s="1"/>
  <c r="G218" i="2"/>
  <c r="N218" i="2" s="1"/>
  <c r="G219" i="2"/>
  <c r="N219" i="2" s="1"/>
  <c r="G220" i="2"/>
  <c r="N220" i="2" s="1"/>
  <c r="G221" i="2"/>
  <c r="N221" i="2" s="1"/>
  <c r="G222" i="2"/>
  <c r="N222" i="2" s="1"/>
  <c r="G223" i="2"/>
  <c r="N223" i="2" s="1"/>
  <c r="G224" i="2"/>
  <c r="N224" i="2" s="1"/>
  <c r="G225" i="2"/>
  <c r="N225" i="2" s="1"/>
  <c r="G226" i="2"/>
  <c r="N226" i="2" s="1"/>
  <c r="G227" i="2"/>
  <c r="N227" i="2" s="1"/>
  <c r="G228" i="2"/>
  <c r="N228" i="2" s="1"/>
  <c r="G229" i="2"/>
  <c r="N229" i="2" s="1"/>
  <c r="G230" i="2"/>
  <c r="N230" i="2" s="1"/>
  <c r="G231" i="2"/>
  <c r="N231" i="2" s="1"/>
  <c r="G232" i="2"/>
  <c r="N232" i="2" s="1"/>
  <c r="G233" i="2"/>
  <c r="N233" i="2" s="1"/>
  <c r="G234" i="2"/>
  <c r="N234" i="2" s="1"/>
  <c r="G235" i="2"/>
  <c r="N235" i="2" s="1"/>
  <c r="G236" i="2"/>
  <c r="N236" i="2" s="1"/>
  <c r="G237" i="2"/>
  <c r="N237" i="2" s="1"/>
  <c r="G238" i="2"/>
  <c r="N238" i="2" s="1"/>
  <c r="G239" i="2"/>
  <c r="N239" i="2" s="1"/>
  <c r="G240" i="2"/>
  <c r="N240" i="2" s="1"/>
  <c r="G241" i="2"/>
  <c r="N241" i="2" s="1"/>
  <c r="G242" i="2"/>
  <c r="N242" i="2" s="1"/>
  <c r="G243" i="2"/>
  <c r="N243" i="2" s="1"/>
  <c r="G244" i="2"/>
  <c r="N244" i="2" s="1"/>
  <c r="G245" i="2"/>
  <c r="N245" i="2" s="1"/>
  <c r="G246" i="2"/>
  <c r="N246" i="2" s="1"/>
  <c r="G247" i="2"/>
  <c r="N247" i="2" s="1"/>
  <c r="G248" i="2"/>
  <c r="N248" i="2" s="1"/>
  <c r="G249" i="2"/>
  <c r="N249" i="2" s="1"/>
  <c r="G250" i="2"/>
  <c r="N250" i="2" s="1"/>
  <c r="G251" i="2"/>
  <c r="N251" i="2" s="1"/>
  <c r="G252" i="2"/>
  <c r="N252" i="2" s="1"/>
  <c r="G253" i="2"/>
  <c r="N253" i="2" s="1"/>
  <c r="G254" i="2"/>
  <c r="N254" i="2" s="1"/>
  <c r="G255" i="2"/>
  <c r="N255" i="2" s="1"/>
  <c r="G256" i="2"/>
  <c r="N256" i="2" s="1"/>
  <c r="G257" i="2"/>
  <c r="N257" i="2" s="1"/>
  <c r="G258" i="2"/>
  <c r="N258" i="2" s="1"/>
  <c r="G259" i="2"/>
  <c r="N259" i="2" s="1"/>
  <c r="G260" i="2"/>
  <c r="N260" i="2" s="1"/>
  <c r="G261" i="2"/>
  <c r="N261" i="2" s="1"/>
  <c r="G262" i="2"/>
  <c r="N262" i="2" s="1"/>
  <c r="G263" i="2"/>
  <c r="N263" i="2" s="1"/>
  <c r="G264" i="2"/>
  <c r="N264" i="2" s="1"/>
  <c r="G265" i="2"/>
  <c r="N265" i="2" s="1"/>
  <c r="G266" i="2"/>
  <c r="N266" i="2" s="1"/>
  <c r="G267" i="2"/>
  <c r="N267" i="2" s="1"/>
  <c r="G268" i="2"/>
  <c r="N268" i="2" s="1"/>
  <c r="G269" i="2"/>
  <c r="N269" i="2" s="1"/>
  <c r="G270" i="2"/>
  <c r="N270" i="2" s="1"/>
  <c r="G271" i="2"/>
  <c r="N271" i="2" s="1"/>
  <c r="G272" i="2"/>
  <c r="N272" i="2" s="1"/>
  <c r="G273" i="2"/>
  <c r="N273" i="2" s="1"/>
  <c r="G274" i="2"/>
  <c r="N274" i="2" s="1"/>
  <c r="G275" i="2"/>
  <c r="N275" i="2" s="1"/>
  <c r="G276" i="2"/>
  <c r="N276" i="2" s="1"/>
  <c r="G277" i="2"/>
  <c r="N277" i="2" s="1"/>
  <c r="G278" i="2"/>
  <c r="N278" i="2" s="1"/>
  <c r="G279" i="2"/>
  <c r="N279" i="2" s="1"/>
  <c r="G280" i="2"/>
  <c r="N280" i="2" s="1"/>
  <c r="G281" i="2"/>
  <c r="N281" i="2" s="1"/>
  <c r="G282" i="2"/>
  <c r="N282" i="2" s="1"/>
  <c r="G283" i="2"/>
  <c r="N283" i="2" s="1"/>
  <c r="G284" i="2"/>
  <c r="N284" i="2" s="1"/>
  <c r="G285" i="2"/>
  <c r="N285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O40" i="2" l="1"/>
  <c r="P40" i="2" s="1"/>
  <c r="O32" i="2"/>
  <c r="P32" i="2" s="1"/>
  <c r="O24" i="2"/>
  <c r="P24" i="2" s="1"/>
  <c r="O16" i="2"/>
  <c r="P16" i="2" s="1"/>
  <c r="O8" i="2"/>
  <c r="P8" i="2" s="1"/>
  <c r="O284" i="2"/>
  <c r="P284" i="2" s="1"/>
  <c r="Q40" i="2"/>
  <c r="Q32" i="2"/>
  <c r="Q24" i="2"/>
  <c r="Q8" i="2"/>
  <c r="O276" i="2"/>
  <c r="P276" i="2" s="1"/>
  <c r="O268" i="2"/>
  <c r="P268" i="2" s="1"/>
  <c r="O260" i="2"/>
  <c r="P260" i="2" s="1"/>
  <c r="O252" i="2"/>
  <c r="P252" i="2" s="1"/>
  <c r="O244" i="2"/>
  <c r="P244" i="2" s="1"/>
  <c r="O236" i="2"/>
  <c r="P236" i="2" s="1"/>
  <c r="O228" i="2"/>
  <c r="P228" i="2" s="1"/>
  <c r="O220" i="2"/>
  <c r="P220" i="2" s="1"/>
  <c r="O212" i="2"/>
  <c r="P212" i="2" s="1"/>
  <c r="O204" i="2"/>
  <c r="P204" i="2" s="1"/>
  <c r="O196" i="2"/>
  <c r="P196" i="2" s="1"/>
  <c r="O188" i="2"/>
  <c r="P188" i="2" s="1"/>
  <c r="O180" i="2"/>
  <c r="P180" i="2" s="1"/>
  <c r="O172" i="2"/>
  <c r="P172" i="2" s="1"/>
  <c r="O164" i="2"/>
  <c r="P164" i="2" s="1"/>
  <c r="O156" i="2"/>
  <c r="P156" i="2" s="1"/>
  <c r="O148" i="2"/>
  <c r="P148" i="2" s="1"/>
  <c r="O140" i="2"/>
  <c r="P140" i="2" s="1"/>
  <c r="O132" i="2"/>
  <c r="P132" i="2" s="1"/>
  <c r="O124" i="2"/>
  <c r="P124" i="2" s="1"/>
  <c r="O116" i="2"/>
  <c r="P116" i="2" s="1"/>
  <c r="O108" i="2"/>
  <c r="P108" i="2" s="1"/>
  <c r="O76" i="2"/>
  <c r="P76" i="2" s="1"/>
  <c r="O154" i="2"/>
  <c r="P154" i="2" s="1"/>
  <c r="O264" i="2"/>
  <c r="P264" i="2" s="1"/>
  <c r="O240" i="2"/>
  <c r="P240" i="2" s="1"/>
  <c r="O224" i="2"/>
  <c r="P224" i="2" s="1"/>
  <c r="O200" i="2"/>
  <c r="P200" i="2" s="1"/>
  <c r="O176" i="2"/>
  <c r="P176" i="2" s="1"/>
  <c r="O152" i="2"/>
  <c r="P152" i="2" s="1"/>
  <c r="O128" i="2"/>
  <c r="P128" i="2" s="1"/>
  <c r="O112" i="2"/>
  <c r="P112" i="2" s="1"/>
  <c r="O279" i="2"/>
  <c r="P279" i="2" s="1"/>
  <c r="O271" i="2"/>
  <c r="P271" i="2" s="1"/>
  <c r="O263" i="2"/>
  <c r="P263" i="2" s="1"/>
  <c r="O255" i="2"/>
  <c r="P255" i="2" s="1"/>
  <c r="O247" i="2"/>
  <c r="P247" i="2" s="1"/>
  <c r="O239" i="2"/>
  <c r="P239" i="2" s="1"/>
  <c r="O231" i="2"/>
  <c r="P231" i="2" s="1"/>
  <c r="O223" i="2"/>
  <c r="P223" i="2" s="1"/>
  <c r="O215" i="2"/>
  <c r="P215" i="2" s="1"/>
  <c r="O207" i="2"/>
  <c r="P207" i="2" s="1"/>
  <c r="O199" i="2"/>
  <c r="P199" i="2" s="1"/>
  <c r="O191" i="2"/>
  <c r="P191" i="2" s="1"/>
  <c r="O183" i="2"/>
  <c r="P183" i="2" s="1"/>
  <c r="O175" i="2"/>
  <c r="P175" i="2" s="1"/>
  <c r="O167" i="2"/>
  <c r="P167" i="2" s="1"/>
  <c r="O159" i="2"/>
  <c r="P159" i="2" s="1"/>
  <c r="O151" i="2"/>
  <c r="P151" i="2" s="1"/>
  <c r="O143" i="2"/>
  <c r="P143" i="2" s="1"/>
  <c r="O135" i="2"/>
  <c r="P135" i="2" s="1"/>
  <c r="O127" i="2"/>
  <c r="P127" i="2" s="1"/>
  <c r="O119" i="2"/>
  <c r="P119" i="2" s="1"/>
  <c r="O111" i="2"/>
  <c r="P111" i="2" s="1"/>
  <c r="O103" i="2"/>
  <c r="P103" i="2" s="1"/>
  <c r="O95" i="2"/>
  <c r="P95" i="2" s="1"/>
  <c r="O87" i="2"/>
  <c r="P87" i="2" s="1"/>
  <c r="O79" i="2"/>
  <c r="P79" i="2" s="1"/>
  <c r="O71" i="2"/>
  <c r="P71" i="2" s="1"/>
  <c r="O63" i="2"/>
  <c r="P63" i="2" s="1"/>
  <c r="O55" i="2"/>
  <c r="P55" i="2" s="1"/>
  <c r="O47" i="2"/>
  <c r="P47" i="2" s="1"/>
  <c r="O39" i="2"/>
  <c r="P39" i="2" s="1"/>
  <c r="O31" i="2"/>
  <c r="P31" i="2" s="1"/>
  <c r="O23" i="2"/>
  <c r="P23" i="2" s="1"/>
  <c r="O15" i="2"/>
  <c r="P15" i="2" s="1"/>
  <c r="O7" i="2"/>
  <c r="P7" i="2" s="1"/>
  <c r="O272" i="2"/>
  <c r="P272" i="2" s="1"/>
  <c r="O256" i="2"/>
  <c r="P256" i="2" s="1"/>
  <c r="O232" i="2"/>
  <c r="P232" i="2" s="1"/>
  <c r="O208" i="2"/>
  <c r="P208" i="2" s="1"/>
  <c r="O184" i="2"/>
  <c r="P184" i="2" s="1"/>
  <c r="O160" i="2"/>
  <c r="P160" i="2" s="1"/>
  <c r="O136" i="2"/>
  <c r="P136" i="2" s="1"/>
  <c r="O104" i="2"/>
  <c r="P104" i="2" s="1"/>
  <c r="O278" i="2"/>
  <c r="P278" i="2" s="1"/>
  <c r="O270" i="2"/>
  <c r="P270" i="2" s="1"/>
  <c r="O262" i="2"/>
  <c r="P262" i="2" s="1"/>
  <c r="O254" i="2"/>
  <c r="P254" i="2" s="1"/>
  <c r="O246" i="2"/>
  <c r="P246" i="2" s="1"/>
  <c r="O238" i="2"/>
  <c r="P238" i="2" s="1"/>
  <c r="O230" i="2"/>
  <c r="P230" i="2" s="1"/>
  <c r="O222" i="2"/>
  <c r="P222" i="2" s="1"/>
  <c r="O214" i="2"/>
  <c r="P214" i="2" s="1"/>
  <c r="O206" i="2"/>
  <c r="P206" i="2" s="1"/>
  <c r="O198" i="2"/>
  <c r="P198" i="2" s="1"/>
  <c r="O190" i="2"/>
  <c r="P190" i="2" s="1"/>
  <c r="O182" i="2"/>
  <c r="P182" i="2" s="1"/>
  <c r="O174" i="2"/>
  <c r="P174" i="2" s="1"/>
  <c r="O166" i="2"/>
  <c r="P166" i="2" s="1"/>
  <c r="O158" i="2"/>
  <c r="P158" i="2" s="1"/>
  <c r="O150" i="2"/>
  <c r="P150" i="2" s="1"/>
  <c r="O142" i="2"/>
  <c r="P142" i="2" s="1"/>
  <c r="O134" i="2"/>
  <c r="P134" i="2" s="1"/>
  <c r="O126" i="2"/>
  <c r="P126" i="2" s="1"/>
  <c r="O118" i="2"/>
  <c r="P118" i="2" s="1"/>
  <c r="O110" i="2"/>
  <c r="P110" i="2" s="1"/>
  <c r="O102" i="2"/>
  <c r="P102" i="2" s="1"/>
  <c r="O94" i="2"/>
  <c r="P94" i="2" s="1"/>
  <c r="O86" i="2"/>
  <c r="P86" i="2" s="1"/>
  <c r="O78" i="2"/>
  <c r="P78" i="2" s="1"/>
  <c r="O70" i="2"/>
  <c r="P70" i="2" s="1"/>
  <c r="O62" i="2"/>
  <c r="P62" i="2" s="1"/>
  <c r="O54" i="2"/>
  <c r="P54" i="2" s="1"/>
  <c r="O46" i="2"/>
  <c r="P46" i="2" s="1"/>
  <c r="O38" i="2"/>
  <c r="P38" i="2" s="1"/>
  <c r="O30" i="2"/>
  <c r="P30" i="2" s="1"/>
  <c r="O22" i="2"/>
  <c r="P22" i="2" s="1"/>
  <c r="O14" i="2"/>
  <c r="P14" i="2" s="1"/>
  <c r="O6" i="2"/>
  <c r="P6" i="2" s="1"/>
  <c r="O280" i="2"/>
  <c r="P280" i="2" s="1"/>
  <c r="O248" i="2"/>
  <c r="P248" i="2" s="1"/>
  <c r="O216" i="2"/>
  <c r="P216" i="2" s="1"/>
  <c r="O192" i="2"/>
  <c r="P192" i="2" s="1"/>
  <c r="O168" i="2"/>
  <c r="P168" i="2" s="1"/>
  <c r="O144" i="2"/>
  <c r="P144" i="2" s="1"/>
  <c r="O120" i="2"/>
  <c r="P120" i="2" s="1"/>
  <c r="O72" i="2"/>
  <c r="P72" i="2" s="1"/>
  <c r="O285" i="2"/>
  <c r="P285" i="2" s="1"/>
  <c r="O277" i="2"/>
  <c r="P277" i="2" s="1"/>
  <c r="O269" i="2"/>
  <c r="P269" i="2" s="1"/>
  <c r="O261" i="2"/>
  <c r="P261" i="2" s="1"/>
  <c r="O253" i="2"/>
  <c r="P253" i="2" s="1"/>
  <c r="O245" i="2"/>
  <c r="P245" i="2" s="1"/>
  <c r="O237" i="2"/>
  <c r="P237" i="2" s="1"/>
  <c r="O229" i="2"/>
  <c r="P229" i="2" s="1"/>
  <c r="O221" i="2"/>
  <c r="P221" i="2" s="1"/>
  <c r="O213" i="2"/>
  <c r="P213" i="2" s="1"/>
  <c r="O205" i="2"/>
  <c r="P205" i="2" s="1"/>
  <c r="O197" i="2"/>
  <c r="P197" i="2" s="1"/>
  <c r="O189" i="2"/>
  <c r="P189" i="2" s="1"/>
  <c r="O181" i="2"/>
  <c r="P181" i="2" s="1"/>
  <c r="O173" i="2"/>
  <c r="P173" i="2" s="1"/>
  <c r="O165" i="2"/>
  <c r="P165" i="2" s="1"/>
  <c r="O157" i="2"/>
  <c r="P157" i="2" s="1"/>
  <c r="O149" i="2"/>
  <c r="P149" i="2" s="1"/>
  <c r="O141" i="2"/>
  <c r="P141" i="2" s="1"/>
  <c r="O133" i="2"/>
  <c r="P133" i="2" s="1"/>
  <c r="O125" i="2"/>
  <c r="P125" i="2" s="1"/>
  <c r="O117" i="2"/>
  <c r="P117" i="2" s="1"/>
  <c r="O109" i="2"/>
  <c r="P109" i="2" s="1"/>
  <c r="O101" i="2"/>
  <c r="P101" i="2" s="1"/>
  <c r="O93" i="2"/>
  <c r="P93" i="2" s="1"/>
  <c r="O85" i="2"/>
  <c r="P85" i="2" s="1"/>
  <c r="O77" i="2"/>
  <c r="P77" i="2" s="1"/>
  <c r="O69" i="2"/>
  <c r="P69" i="2" s="1"/>
  <c r="O61" i="2"/>
  <c r="P61" i="2" s="1"/>
  <c r="O53" i="2"/>
  <c r="P53" i="2" s="1"/>
  <c r="O45" i="2"/>
  <c r="P45" i="2" s="1"/>
  <c r="O37" i="2"/>
  <c r="P37" i="2" s="1"/>
  <c r="O29" i="2"/>
  <c r="P29" i="2" s="1"/>
  <c r="O21" i="2"/>
  <c r="P21" i="2" s="1"/>
  <c r="O13" i="2"/>
  <c r="P13" i="2" s="1"/>
  <c r="O5" i="2"/>
  <c r="P5" i="2" s="1"/>
  <c r="O44" i="2"/>
  <c r="P44" i="2" s="1"/>
  <c r="O36" i="2"/>
  <c r="P36" i="2" s="1"/>
  <c r="O28" i="2"/>
  <c r="P28" i="2" s="1"/>
  <c r="O20" i="2"/>
  <c r="P20" i="2" s="1"/>
  <c r="O12" i="2"/>
  <c r="P12" i="2" s="1"/>
  <c r="O4" i="2"/>
  <c r="P4" i="2" s="1"/>
  <c r="O283" i="2"/>
  <c r="P283" i="2" s="1"/>
  <c r="O275" i="2"/>
  <c r="P275" i="2" s="1"/>
  <c r="O267" i="2"/>
  <c r="P267" i="2" s="1"/>
  <c r="O259" i="2"/>
  <c r="P259" i="2" s="1"/>
  <c r="O251" i="2"/>
  <c r="P251" i="2" s="1"/>
  <c r="O243" i="2"/>
  <c r="P243" i="2" s="1"/>
  <c r="O235" i="2"/>
  <c r="P235" i="2" s="1"/>
  <c r="O227" i="2"/>
  <c r="P227" i="2" s="1"/>
  <c r="O219" i="2"/>
  <c r="P219" i="2" s="1"/>
  <c r="O211" i="2"/>
  <c r="P211" i="2" s="1"/>
  <c r="O203" i="2"/>
  <c r="P203" i="2" s="1"/>
  <c r="O195" i="2"/>
  <c r="P195" i="2" s="1"/>
  <c r="O187" i="2"/>
  <c r="P187" i="2" s="1"/>
  <c r="O179" i="2"/>
  <c r="P179" i="2" s="1"/>
  <c r="O171" i="2"/>
  <c r="P171" i="2" s="1"/>
  <c r="O163" i="2"/>
  <c r="P163" i="2" s="1"/>
  <c r="O155" i="2"/>
  <c r="P155" i="2" s="1"/>
  <c r="O147" i="2"/>
  <c r="P147" i="2" s="1"/>
  <c r="O139" i="2"/>
  <c r="P139" i="2" s="1"/>
  <c r="O131" i="2"/>
  <c r="P131" i="2" s="1"/>
  <c r="O123" i="2"/>
  <c r="P123" i="2" s="1"/>
  <c r="O115" i="2"/>
  <c r="P115" i="2" s="1"/>
  <c r="O107" i="2"/>
  <c r="P107" i="2" s="1"/>
  <c r="O75" i="2"/>
  <c r="P75" i="2" s="1"/>
  <c r="O43" i="2"/>
  <c r="P43" i="2" s="1"/>
  <c r="O35" i="2"/>
  <c r="P35" i="2" s="1"/>
  <c r="O27" i="2"/>
  <c r="P27" i="2" s="1"/>
  <c r="O19" i="2"/>
  <c r="P19" i="2" s="1"/>
  <c r="O11" i="2"/>
  <c r="P11" i="2" s="1"/>
  <c r="O282" i="2"/>
  <c r="P282" i="2" s="1"/>
  <c r="O266" i="2"/>
  <c r="P266" i="2" s="1"/>
  <c r="O250" i="2"/>
  <c r="P250" i="2" s="1"/>
  <c r="O234" i="2"/>
  <c r="P234" i="2" s="1"/>
  <c r="O218" i="2"/>
  <c r="P218" i="2" s="1"/>
  <c r="O202" i="2"/>
  <c r="P202" i="2" s="1"/>
  <c r="O194" i="2"/>
  <c r="P194" i="2" s="1"/>
  <c r="O186" i="2"/>
  <c r="P186" i="2" s="1"/>
  <c r="O178" i="2"/>
  <c r="P178" i="2" s="1"/>
  <c r="O170" i="2"/>
  <c r="P170" i="2" s="1"/>
  <c r="O162" i="2"/>
  <c r="P162" i="2" s="1"/>
  <c r="O146" i="2"/>
  <c r="P146" i="2" s="1"/>
  <c r="O138" i="2"/>
  <c r="P138" i="2" s="1"/>
  <c r="O130" i="2"/>
  <c r="P130" i="2" s="1"/>
  <c r="O122" i="2"/>
  <c r="P122" i="2" s="1"/>
  <c r="O114" i="2"/>
  <c r="P114" i="2" s="1"/>
  <c r="O106" i="2"/>
  <c r="P106" i="2" s="1"/>
  <c r="O74" i="2"/>
  <c r="P74" i="2" s="1"/>
  <c r="O42" i="2"/>
  <c r="P42" i="2" s="1"/>
  <c r="O34" i="2"/>
  <c r="P34" i="2" s="1"/>
  <c r="O26" i="2"/>
  <c r="P26" i="2" s="1"/>
  <c r="O18" i="2"/>
  <c r="P18" i="2" s="1"/>
  <c r="O10" i="2"/>
  <c r="P10" i="2" s="1"/>
  <c r="O274" i="2"/>
  <c r="P274" i="2" s="1"/>
  <c r="O258" i="2"/>
  <c r="P258" i="2" s="1"/>
  <c r="O242" i="2"/>
  <c r="P242" i="2" s="1"/>
  <c r="O226" i="2"/>
  <c r="P226" i="2" s="1"/>
  <c r="O210" i="2"/>
  <c r="P210" i="2" s="1"/>
  <c r="O281" i="2"/>
  <c r="P281" i="2" s="1"/>
  <c r="O273" i="2"/>
  <c r="P273" i="2" s="1"/>
  <c r="O265" i="2"/>
  <c r="P265" i="2" s="1"/>
  <c r="O257" i="2"/>
  <c r="P257" i="2" s="1"/>
  <c r="O249" i="2"/>
  <c r="P249" i="2" s="1"/>
  <c r="O241" i="2"/>
  <c r="P241" i="2" s="1"/>
  <c r="O233" i="2"/>
  <c r="P233" i="2" s="1"/>
  <c r="O225" i="2"/>
  <c r="P225" i="2" s="1"/>
  <c r="O217" i="2"/>
  <c r="P217" i="2" s="1"/>
  <c r="O209" i="2"/>
  <c r="P209" i="2" s="1"/>
  <c r="O201" i="2"/>
  <c r="P201" i="2" s="1"/>
  <c r="O193" i="2"/>
  <c r="P193" i="2" s="1"/>
  <c r="O185" i="2"/>
  <c r="P185" i="2" s="1"/>
  <c r="O177" i="2"/>
  <c r="P177" i="2" s="1"/>
  <c r="O169" i="2"/>
  <c r="P169" i="2" s="1"/>
  <c r="O161" i="2"/>
  <c r="P161" i="2" s="1"/>
  <c r="O153" i="2"/>
  <c r="P153" i="2" s="1"/>
  <c r="O145" i="2"/>
  <c r="P145" i="2" s="1"/>
  <c r="O137" i="2"/>
  <c r="P137" i="2" s="1"/>
  <c r="O129" i="2"/>
  <c r="P129" i="2" s="1"/>
  <c r="O121" i="2"/>
  <c r="P121" i="2" s="1"/>
  <c r="O113" i="2"/>
  <c r="P113" i="2" s="1"/>
  <c r="O105" i="2"/>
  <c r="P105" i="2" s="1"/>
  <c r="O73" i="2"/>
  <c r="P73" i="2" s="1"/>
  <c r="O41" i="2"/>
  <c r="P41" i="2" s="1"/>
  <c r="O33" i="2"/>
  <c r="P33" i="2" s="1"/>
  <c r="O25" i="2"/>
  <c r="P25" i="2" s="1"/>
  <c r="O17" i="2"/>
  <c r="P17" i="2" s="1"/>
  <c r="O9" i="2"/>
  <c r="P9" i="2" s="1"/>
  <c r="H98" i="2"/>
  <c r="N98" i="2"/>
  <c r="H90" i="2"/>
  <c r="N90" i="2"/>
  <c r="H82" i="2"/>
  <c r="N82" i="2"/>
  <c r="H66" i="2"/>
  <c r="N66" i="2"/>
  <c r="H58" i="2"/>
  <c r="N58" i="2"/>
  <c r="H50" i="2"/>
  <c r="N50" i="2"/>
  <c r="H29" i="2"/>
  <c r="H21" i="2"/>
  <c r="H13" i="2"/>
  <c r="H5" i="2"/>
  <c r="H10" i="2"/>
  <c r="H28" i="2"/>
  <c r="H20" i="2"/>
  <c r="H4" i="2"/>
  <c r="H80" i="2"/>
  <c r="H72" i="2"/>
  <c r="H8" i="2"/>
  <c r="H12" i="2"/>
  <c r="H283" i="2"/>
  <c r="H275" i="2"/>
  <c r="H267" i="2"/>
  <c r="H259" i="2"/>
  <c r="H251" i="2"/>
  <c r="H243" i="2"/>
  <c r="H235" i="2"/>
  <c r="H227" i="2"/>
  <c r="H219" i="2"/>
  <c r="H211" i="2"/>
  <c r="H203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19" i="2"/>
  <c r="H11" i="2"/>
  <c r="H3" i="2"/>
  <c r="H278" i="2"/>
  <c r="H270" i="2"/>
  <c r="H262" i="2"/>
  <c r="H254" i="2"/>
  <c r="H246" i="2"/>
  <c r="H238" i="2"/>
  <c r="H230" i="2"/>
  <c r="H222" i="2"/>
  <c r="H214" i="2"/>
  <c r="H206" i="2"/>
  <c r="H198" i="2"/>
  <c r="H190" i="2"/>
  <c r="H182" i="2"/>
  <c r="H174" i="2"/>
  <c r="H166" i="2"/>
  <c r="H158" i="2"/>
  <c r="H150" i="2"/>
  <c r="H142" i="2"/>
  <c r="H134" i="2"/>
  <c r="H126" i="2"/>
  <c r="H118" i="2"/>
  <c r="H110" i="2"/>
  <c r="H102" i="2"/>
  <c r="H94" i="2"/>
  <c r="H86" i="2"/>
  <c r="H78" i="2"/>
  <c r="H70" i="2"/>
  <c r="H46" i="2"/>
  <c r="H38" i="2"/>
  <c r="H30" i="2"/>
  <c r="H22" i="2"/>
  <c r="H14" i="2"/>
  <c r="H6" i="2"/>
  <c r="H44" i="2"/>
  <c r="H60" i="2"/>
  <c r="H53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52" i="2"/>
  <c r="H36" i="2"/>
  <c r="H27" i="2"/>
  <c r="H138" i="2"/>
  <c r="H130" i="2"/>
  <c r="H122" i="2"/>
  <c r="H74" i="2"/>
  <c r="H42" i="2"/>
  <c r="H26" i="2"/>
  <c r="H18" i="2"/>
  <c r="H281" i="2"/>
  <c r="H273" i="2"/>
  <c r="H265" i="2"/>
  <c r="H257" i="2"/>
  <c r="H249" i="2"/>
  <c r="H241" i="2"/>
  <c r="H233" i="2"/>
  <c r="H225" i="2"/>
  <c r="H217" i="2"/>
  <c r="H209" i="2"/>
  <c r="H201" i="2"/>
  <c r="H193" i="2"/>
  <c r="H185" i="2"/>
  <c r="H177" i="2"/>
  <c r="H169" i="2"/>
  <c r="H161" i="2"/>
  <c r="H153" i="2"/>
  <c r="H145" i="2"/>
  <c r="H137" i="2"/>
  <c r="H129" i="2"/>
  <c r="H121" i="2"/>
  <c r="H113" i="2"/>
  <c r="H105" i="2"/>
  <c r="H89" i="2"/>
  <c r="H81" i="2"/>
  <c r="H73" i="2"/>
  <c r="H65" i="2"/>
  <c r="H57" i="2"/>
  <c r="H49" i="2"/>
  <c r="H41" i="2"/>
  <c r="H33" i="2"/>
  <c r="H17" i="2"/>
  <c r="H9" i="2"/>
  <c r="H271" i="2"/>
  <c r="H263" i="2"/>
  <c r="H255" i="2"/>
  <c r="H247" i="2"/>
  <c r="H239" i="2"/>
  <c r="H231" i="2"/>
  <c r="H223" i="2"/>
  <c r="H215" i="2"/>
  <c r="H207" i="2"/>
  <c r="H199" i="2"/>
  <c r="H191" i="2"/>
  <c r="H183" i="2"/>
  <c r="H175" i="2"/>
  <c r="H167" i="2"/>
  <c r="H159" i="2"/>
  <c r="H151" i="2"/>
  <c r="H143" i="2"/>
  <c r="H68" i="2"/>
  <c r="H266" i="2"/>
  <c r="H258" i="2"/>
  <c r="H250" i="2"/>
  <c r="H234" i="2"/>
  <c r="H226" i="2"/>
  <c r="H218" i="2"/>
  <c r="H210" i="2"/>
  <c r="H202" i="2"/>
  <c r="H194" i="2"/>
  <c r="H186" i="2"/>
  <c r="H178" i="2"/>
  <c r="H170" i="2"/>
  <c r="H162" i="2"/>
  <c r="H154" i="2"/>
  <c r="H34" i="2"/>
  <c r="H25" i="2"/>
  <c r="H280" i="2"/>
  <c r="H272" i="2"/>
  <c r="H264" i="2"/>
  <c r="H256" i="2"/>
  <c r="H248" i="2"/>
  <c r="H240" i="2"/>
  <c r="H232" i="2"/>
  <c r="H224" i="2"/>
  <c r="H216" i="2"/>
  <c r="H208" i="2"/>
  <c r="H200" i="2"/>
  <c r="H192" i="2"/>
  <c r="H184" i="2"/>
  <c r="H176" i="2"/>
  <c r="H168" i="2"/>
  <c r="H160" i="2"/>
  <c r="H152" i="2"/>
  <c r="H144" i="2"/>
  <c r="H136" i="2"/>
  <c r="H128" i="2"/>
  <c r="H120" i="2"/>
  <c r="H112" i="2"/>
  <c r="H104" i="2"/>
  <c r="H96" i="2"/>
  <c r="H64" i="2"/>
  <c r="H56" i="2"/>
  <c r="H48" i="2"/>
  <c r="H40" i="2"/>
  <c r="H32" i="2"/>
  <c r="H24" i="2"/>
  <c r="H16" i="2"/>
  <c r="H135" i="2"/>
  <c r="H127" i="2"/>
  <c r="H119" i="2"/>
  <c r="H111" i="2"/>
  <c r="H103" i="2"/>
  <c r="H95" i="2"/>
  <c r="H87" i="2"/>
  <c r="H71" i="2"/>
  <c r="H63" i="2"/>
  <c r="H55" i="2"/>
  <c r="H47" i="2"/>
  <c r="H39" i="2"/>
  <c r="H31" i="2"/>
  <c r="H23" i="2"/>
  <c r="H15" i="2"/>
  <c r="H7" i="2"/>
  <c r="H62" i="2"/>
  <c r="H54" i="2"/>
  <c r="H45" i="2"/>
  <c r="H282" i="2"/>
  <c r="H274" i="2"/>
  <c r="H242" i="2"/>
  <c r="H146" i="2"/>
  <c r="H114" i="2"/>
  <c r="H106" i="2"/>
  <c r="H97" i="2"/>
  <c r="H88" i="2"/>
  <c r="H279" i="2"/>
  <c r="H79" i="2"/>
  <c r="H285" i="2"/>
  <c r="H277" i="2"/>
  <c r="H269" i="2"/>
  <c r="H261" i="2"/>
  <c r="H253" i="2"/>
  <c r="H245" i="2"/>
  <c r="H237" i="2"/>
  <c r="H229" i="2"/>
  <c r="H221" i="2"/>
  <c r="H213" i="2"/>
  <c r="H205" i="2"/>
  <c r="H197" i="2"/>
  <c r="H189" i="2"/>
  <c r="H181" i="2"/>
  <c r="H173" i="2"/>
  <c r="H165" i="2"/>
  <c r="H157" i="2"/>
  <c r="H149" i="2"/>
  <c r="H141" i="2"/>
  <c r="H133" i="2"/>
  <c r="H125" i="2"/>
  <c r="H117" i="2"/>
  <c r="H109" i="2"/>
  <c r="H101" i="2"/>
  <c r="H93" i="2"/>
  <c r="H85" i="2"/>
  <c r="H77" i="2"/>
  <c r="H69" i="2"/>
  <c r="H61" i="2"/>
  <c r="H37" i="2"/>
  <c r="Q16" i="2" l="1"/>
  <c r="O68" i="2"/>
  <c r="Q23" i="2"/>
  <c r="Q87" i="2"/>
  <c r="Q151" i="2"/>
  <c r="Q215" i="2"/>
  <c r="Q279" i="2"/>
  <c r="Q128" i="2"/>
  <c r="Q192" i="2"/>
  <c r="Q256" i="2"/>
  <c r="Q41" i="2"/>
  <c r="Q105" i="2"/>
  <c r="Q169" i="2"/>
  <c r="Q233" i="2"/>
  <c r="Q18" i="2"/>
  <c r="Q130" i="2"/>
  <c r="Q194" i="2"/>
  <c r="Q258" i="2"/>
  <c r="Q35" i="2"/>
  <c r="Q163" i="2"/>
  <c r="Q227" i="2"/>
  <c r="Q4" i="2"/>
  <c r="Q132" i="2"/>
  <c r="Q196" i="2"/>
  <c r="Q260" i="2"/>
  <c r="Q37" i="2"/>
  <c r="Q101" i="2"/>
  <c r="Q165" i="2"/>
  <c r="Q229" i="2"/>
  <c r="Q6" i="2"/>
  <c r="Q38" i="2"/>
  <c r="Q94" i="2"/>
  <c r="Q158" i="2"/>
  <c r="Q222" i="2"/>
  <c r="Q31" i="2"/>
  <c r="Q95" i="2"/>
  <c r="Q159" i="2"/>
  <c r="Q223" i="2"/>
  <c r="Q72" i="2"/>
  <c r="Q136" i="2"/>
  <c r="Q200" i="2"/>
  <c r="Q264" i="2"/>
  <c r="Q113" i="2"/>
  <c r="Q177" i="2"/>
  <c r="Q241" i="2"/>
  <c r="Q26" i="2"/>
  <c r="Q138" i="2"/>
  <c r="Q202" i="2"/>
  <c r="Q266" i="2"/>
  <c r="Q43" i="2"/>
  <c r="Q107" i="2"/>
  <c r="Q171" i="2"/>
  <c r="Q235" i="2"/>
  <c r="Q12" i="2"/>
  <c r="Q76" i="2"/>
  <c r="Q140" i="2"/>
  <c r="Q204" i="2"/>
  <c r="Q268" i="2"/>
  <c r="Q45" i="2"/>
  <c r="Q109" i="2"/>
  <c r="Q173" i="2"/>
  <c r="Q237" i="2"/>
  <c r="Q102" i="2"/>
  <c r="Q166" i="2"/>
  <c r="Q230" i="2"/>
  <c r="O84" i="2"/>
  <c r="Q39" i="2"/>
  <c r="Q103" i="2"/>
  <c r="Q167" i="2"/>
  <c r="Q231" i="2"/>
  <c r="Q144" i="2"/>
  <c r="Q208" i="2"/>
  <c r="Q272" i="2"/>
  <c r="Q121" i="2"/>
  <c r="Q185" i="2"/>
  <c r="Q249" i="2"/>
  <c r="Q34" i="2"/>
  <c r="Q146" i="2"/>
  <c r="Q210" i="2"/>
  <c r="Q274" i="2"/>
  <c r="Q115" i="2"/>
  <c r="Q179" i="2"/>
  <c r="Q243" i="2"/>
  <c r="Q20" i="2"/>
  <c r="Q148" i="2"/>
  <c r="Q212" i="2"/>
  <c r="Q276" i="2"/>
  <c r="Q53" i="2"/>
  <c r="Q117" i="2"/>
  <c r="Q181" i="2"/>
  <c r="Q245" i="2"/>
  <c r="Q14" i="2"/>
  <c r="Q46" i="2"/>
  <c r="Q110" i="2"/>
  <c r="Q174" i="2"/>
  <c r="Q238" i="2"/>
  <c r="Q47" i="2"/>
  <c r="Q111" i="2"/>
  <c r="Q175" i="2"/>
  <c r="Q239" i="2"/>
  <c r="Q152" i="2"/>
  <c r="Q216" i="2"/>
  <c r="Q280" i="2"/>
  <c r="Q129" i="2"/>
  <c r="Q193" i="2"/>
  <c r="Q257" i="2"/>
  <c r="Q42" i="2"/>
  <c r="Q154" i="2"/>
  <c r="Q218" i="2"/>
  <c r="Q282" i="2"/>
  <c r="Q123" i="2"/>
  <c r="Q187" i="2"/>
  <c r="Q251" i="2"/>
  <c r="Q28" i="2"/>
  <c r="Q156" i="2"/>
  <c r="Q220" i="2"/>
  <c r="Q284" i="2"/>
  <c r="Q61" i="2"/>
  <c r="Q125" i="2"/>
  <c r="Q189" i="2"/>
  <c r="Q253" i="2"/>
  <c r="Q54" i="2"/>
  <c r="Q118" i="2"/>
  <c r="Q182" i="2"/>
  <c r="Q246" i="2"/>
  <c r="O52" i="2"/>
  <c r="O92" i="2"/>
  <c r="Q55" i="2"/>
  <c r="Q119" i="2"/>
  <c r="Q183" i="2"/>
  <c r="Q247" i="2"/>
  <c r="Q160" i="2"/>
  <c r="Q224" i="2"/>
  <c r="Q9" i="2"/>
  <c r="Q73" i="2"/>
  <c r="Q137" i="2"/>
  <c r="Q201" i="2"/>
  <c r="Q265" i="2"/>
  <c r="Q74" i="2"/>
  <c r="Q162" i="2"/>
  <c r="Q226" i="2"/>
  <c r="Q131" i="2"/>
  <c r="Q195" i="2"/>
  <c r="Q259" i="2"/>
  <c r="Q36" i="2"/>
  <c r="Q164" i="2"/>
  <c r="Q228" i="2"/>
  <c r="Q5" i="2"/>
  <c r="Q69" i="2"/>
  <c r="Q133" i="2"/>
  <c r="Q197" i="2"/>
  <c r="Q261" i="2"/>
  <c r="Q22" i="2"/>
  <c r="Q62" i="2"/>
  <c r="Q126" i="2"/>
  <c r="Q190" i="2"/>
  <c r="Q254" i="2"/>
  <c r="Q63" i="2"/>
  <c r="Q127" i="2"/>
  <c r="Q191" i="2"/>
  <c r="Q255" i="2"/>
  <c r="Q104" i="2"/>
  <c r="Q168" i="2"/>
  <c r="Q232" i="2"/>
  <c r="Q17" i="2"/>
  <c r="Q145" i="2"/>
  <c r="Q209" i="2"/>
  <c r="Q273" i="2"/>
  <c r="Q106" i="2"/>
  <c r="Q170" i="2"/>
  <c r="Q234" i="2"/>
  <c r="Q11" i="2"/>
  <c r="Q75" i="2"/>
  <c r="Q139" i="2"/>
  <c r="Q203" i="2"/>
  <c r="Q267" i="2"/>
  <c r="Q44" i="2"/>
  <c r="Q108" i="2"/>
  <c r="Q172" i="2"/>
  <c r="Q236" i="2"/>
  <c r="Q13" i="2"/>
  <c r="Q77" i="2"/>
  <c r="Q141" i="2"/>
  <c r="Q205" i="2"/>
  <c r="Q269" i="2"/>
  <c r="Q70" i="2"/>
  <c r="Q134" i="2"/>
  <c r="Q198" i="2"/>
  <c r="Q262" i="2"/>
  <c r="O60" i="2"/>
  <c r="O100" i="2"/>
  <c r="Q7" i="2"/>
  <c r="Q71" i="2"/>
  <c r="Q135" i="2"/>
  <c r="Q199" i="2"/>
  <c r="Q263" i="2"/>
  <c r="Q112" i="2"/>
  <c r="Q176" i="2"/>
  <c r="Q240" i="2"/>
  <c r="Q25" i="2"/>
  <c r="Q153" i="2"/>
  <c r="Q217" i="2"/>
  <c r="Q281" i="2"/>
  <c r="Q114" i="2"/>
  <c r="Q178" i="2"/>
  <c r="Q242" i="2"/>
  <c r="Q19" i="2"/>
  <c r="Q147" i="2"/>
  <c r="Q211" i="2"/>
  <c r="Q275" i="2"/>
  <c r="Q116" i="2"/>
  <c r="Q180" i="2"/>
  <c r="Q244" i="2"/>
  <c r="Q21" i="2"/>
  <c r="Q85" i="2"/>
  <c r="Q149" i="2"/>
  <c r="Q213" i="2"/>
  <c r="Q277" i="2"/>
  <c r="Q30" i="2"/>
  <c r="Q78" i="2"/>
  <c r="Q142" i="2"/>
  <c r="Q206" i="2"/>
  <c r="Q270" i="2"/>
  <c r="Q15" i="2"/>
  <c r="Q79" i="2"/>
  <c r="Q143" i="2"/>
  <c r="Q207" i="2"/>
  <c r="Q271" i="2"/>
  <c r="Q120" i="2"/>
  <c r="Q184" i="2"/>
  <c r="Q248" i="2"/>
  <c r="Q33" i="2"/>
  <c r="Q161" i="2"/>
  <c r="Q225" i="2"/>
  <c r="Q10" i="2"/>
  <c r="Q122" i="2"/>
  <c r="Q186" i="2"/>
  <c r="Q250" i="2"/>
  <c r="Q27" i="2"/>
  <c r="Q155" i="2"/>
  <c r="Q219" i="2"/>
  <c r="Q283" i="2"/>
  <c r="Q124" i="2"/>
  <c r="Q188" i="2"/>
  <c r="Q252" i="2"/>
  <c r="Q29" i="2"/>
  <c r="Q93" i="2"/>
  <c r="Q157" i="2"/>
  <c r="Q221" i="2"/>
  <c r="Q285" i="2"/>
  <c r="Q86" i="2"/>
  <c r="Q150" i="2"/>
  <c r="Q214" i="2"/>
  <c r="Q278" i="2"/>
  <c r="O49" i="2"/>
  <c r="O81" i="2"/>
  <c r="O89" i="2"/>
  <c r="O82" i="2"/>
  <c r="P82" i="2" s="1"/>
  <c r="O83" i="2"/>
  <c r="O58" i="2"/>
  <c r="P58" i="2" s="1"/>
  <c r="O65" i="2"/>
  <c r="O66" i="2"/>
  <c r="P66" i="2" s="1"/>
  <c r="O91" i="2"/>
  <c r="O64" i="2"/>
  <c r="O57" i="2"/>
  <c r="O99" i="2"/>
  <c r="O88" i="2"/>
  <c r="O90" i="2"/>
  <c r="P90" i="2" s="1"/>
  <c r="O51" i="2"/>
  <c r="O48" i="2"/>
  <c r="O97" i="2"/>
  <c r="O98" i="2"/>
  <c r="P98" i="2" s="1"/>
  <c r="O59" i="2"/>
  <c r="O67" i="2"/>
  <c r="O96" i="2"/>
  <c r="O56" i="2"/>
  <c r="O50" i="2"/>
  <c r="P50" i="2" s="1"/>
  <c r="O80" i="2"/>
  <c r="R159" i="2" l="1"/>
  <c r="R223" i="2"/>
  <c r="R281" i="2"/>
  <c r="P83" i="2"/>
  <c r="Q83" i="2"/>
  <c r="Q50" i="2"/>
  <c r="P52" i="2"/>
  <c r="Q52" i="2"/>
  <c r="P88" i="2"/>
  <c r="Q88" i="2"/>
  <c r="P59" i="2"/>
  <c r="Q59" i="2"/>
  <c r="P57" i="2"/>
  <c r="Q57" i="2"/>
  <c r="P89" i="2"/>
  <c r="Q89" i="2"/>
  <c r="P64" i="2"/>
  <c r="Q64" i="2"/>
  <c r="P81" i="2"/>
  <c r="Q81" i="2"/>
  <c r="P97" i="2"/>
  <c r="Q97" i="2"/>
  <c r="P91" i="2"/>
  <c r="Q91" i="2"/>
  <c r="P49" i="2"/>
  <c r="Q49" i="2"/>
  <c r="R233" i="2" s="1"/>
  <c r="Q98" i="2"/>
  <c r="P99" i="2"/>
  <c r="Q99" i="2"/>
  <c r="P100" i="2"/>
  <c r="Q100" i="2"/>
  <c r="Q82" i="2"/>
  <c r="P96" i="2"/>
  <c r="Q96" i="2"/>
  <c r="P67" i="2"/>
  <c r="Q67" i="2"/>
  <c r="P80" i="2"/>
  <c r="Q80" i="2"/>
  <c r="P51" i="2"/>
  <c r="Q51" i="2"/>
  <c r="R3" i="2" s="1"/>
  <c r="P65" i="2"/>
  <c r="Q65" i="2"/>
  <c r="R185" i="2" s="1"/>
  <c r="Q58" i="2"/>
  <c r="Q90" i="2"/>
  <c r="P84" i="2"/>
  <c r="Q84" i="2"/>
  <c r="Q66" i="2"/>
  <c r="P48" i="2"/>
  <c r="Q48" i="2"/>
  <c r="R20" i="2" s="1"/>
  <c r="P56" i="2"/>
  <c r="Q56" i="2"/>
  <c r="P60" i="2"/>
  <c r="Q60" i="2"/>
  <c r="P92" i="2"/>
  <c r="Q92" i="2"/>
  <c r="P68" i="2"/>
  <c r="Q68" i="2"/>
  <c r="R194" i="2" l="1"/>
  <c r="R253" i="2"/>
  <c r="R95" i="2"/>
  <c r="R10" i="2"/>
  <c r="R189" i="2"/>
  <c r="R31" i="2"/>
  <c r="R268" i="2"/>
  <c r="R125" i="2"/>
  <c r="R251" i="2"/>
  <c r="R61" i="2"/>
  <c r="R187" i="2"/>
  <c r="R209" i="2"/>
  <c r="R123" i="2"/>
  <c r="R57" i="2"/>
  <c r="R81" i="2"/>
  <c r="R257" i="2"/>
  <c r="R59" i="2"/>
  <c r="R17" i="2"/>
  <c r="R217" i="2"/>
  <c r="R137" i="2"/>
  <c r="R245" i="2"/>
  <c r="R181" i="2"/>
  <c r="R117" i="2"/>
  <c r="R53" i="2"/>
  <c r="R161" i="2"/>
  <c r="R193" i="2"/>
  <c r="R232" i="2"/>
  <c r="R168" i="2"/>
  <c r="R104" i="2"/>
  <c r="R40" i="2"/>
  <c r="R260" i="2"/>
  <c r="R196" i="2"/>
  <c r="R132" i="2"/>
  <c r="R68" i="2"/>
  <c r="R4" i="2"/>
  <c r="R222" i="2"/>
  <c r="R158" i="2"/>
  <c r="R94" i="2"/>
  <c r="R30" i="2"/>
  <c r="R250" i="2"/>
  <c r="R186" i="2"/>
  <c r="R122" i="2"/>
  <c r="R58" i="2"/>
  <c r="R279" i="2"/>
  <c r="R215" i="2"/>
  <c r="R151" i="2"/>
  <c r="R87" i="2"/>
  <c r="R23" i="2"/>
  <c r="R243" i="2"/>
  <c r="R179" i="2"/>
  <c r="R115" i="2"/>
  <c r="R51" i="2"/>
  <c r="R241" i="2"/>
  <c r="R153" i="2"/>
  <c r="R97" i="2"/>
  <c r="R237" i="2"/>
  <c r="R173" i="2"/>
  <c r="R109" i="2"/>
  <c r="R45" i="2"/>
  <c r="R121" i="2"/>
  <c r="R89" i="2"/>
  <c r="R224" i="2"/>
  <c r="R160" i="2"/>
  <c r="R96" i="2"/>
  <c r="R32" i="2"/>
  <c r="R252" i="2"/>
  <c r="R188" i="2"/>
  <c r="R124" i="2"/>
  <c r="R60" i="2"/>
  <c r="R278" i="2"/>
  <c r="R214" i="2"/>
  <c r="R150" i="2"/>
  <c r="R86" i="2"/>
  <c r="R22" i="2"/>
  <c r="R242" i="2"/>
  <c r="R178" i="2"/>
  <c r="R114" i="2"/>
  <c r="R50" i="2"/>
  <c r="R271" i="2"/>
  <c r="R207" i="2"/>
  <c r="R143" i="2"/>
  <c r="R79" i="2"/>
  <c r="R15" i="2"/>
  <c r="R235" i="2"/>
  <c r="R171" i="2"/>
  <c r="R107" i="2"/>
  <c r="R43" i="2"/>
  <c r="R176" i="2"/>
  <c r="R76" i="2"/>
  <c r="R102" i="2"/>
  <c r="R66" i="2"/>
  <c r="R201" i="2"/>
  <c r="R113" i="2"/>
  <c r="R33" i="2"/>
  <c r="R229" i="2"/>
  <c r="R165" i="2"/>
  <c r="R101" i="2"/>
  <c r="R37" i="2"/>
  <c r="R73" i="2"/>
  <c r="R280" i="2"/>
  <c r="R216" i="2"/>
  <c r="R152" i="2"/>
  <c r="R88" i="2"/>
  <c r="R24" i="2"/>
  <c r="R244" i="2"/>
  <c r="R180" i="2"/>
  <c r="R116" i="2"/>
  <c r="R52" i="2"/>
  <c r="R270" i="2"/>
  <c r="R206" i="2"/>
  <c r="R142" i="2"/>
  <c r="R78" i="2"/>
  <c r="R14" i="2"/>
  <c r="R234" i="2"/>
  <c r="R170" i="2"/>
  <c r="R106" i="2"/>
  <c r="R42" i="2"/>
  <c r="R263" i="2"/>
  <c r="R199" i="2"/>
  <c r="R135" i="2"/>
  <c r="R71" i="2"/>
  <c r="R7" i="2"/>
  <c r="R227" i="2"/>
  <c r="R163" i="2"/>
  <c r="R99" i="2"/>
  <c r="R35" i="2"/>
  <c r="R112" i="2"/>
  <c r="R140" i="2"/>
  <c r="R38" i="2"/>
  <c r="R130" i="2"/>
  <c r="R265" i="2"/>
  <c r="R145" i="2"/>
  <c r="R65" i="2"/>
  <c r="R285" i="2"/>
  <c r="R221" i="2"/>
  <c r="R157" i="2"/>
  <c r="R93" i="2"/>
  <c r="R29" i="2"/>
  <c r="R25" i="2"/>
  <c r="R272" i="2"/>
  <c r="R208" i="2"/>
  <c r="R144" i="2"/>
  <c r="R80" i="2"/>
  <c r="R16" i="2"/>
  <c r="R236" i="2"/>
  <c r="R172" i="2"/>
  <c r="R108" i="2"/>
  <c r="R44" i="2"/>
  <c r="R262" i="2"/>
  <c r="R198" i="2"/>
  <c r="R134" i="2"/>
  <c r="R70" i="2"/>
  <c r="R6" i="2"/>
  <c r="R226" i="2"/>
  <c r="R162" i="2"/>
  <c r="R98" i="2"/>
  <c r="R34" i="2"/>
  <c r="R255" i="2"/>
  <c r="R191" i="2"/>
  <c r="R127" i="2"/>
  <c r="R63" i="2"/>
  <c r="R283" i="2"/>
  <c r="R219" i="2"/>
  <c r="R155" i="2"/>
  <c r="R91" i="2"/>
  <c r="R27" i="2"/>
  <c r="R240" i="2"/>
  <c r="R204" i="2"/>
  <c r="R166" i="2"/>
  <c r="R2" i="2"/>
  <c r="R105" i="2"/>
  <c r="R41" i="2"/>
  <c r="R277" i="2"/>
  <c r="R213" i="2"/>
  <c r="R149" i="2"/>
  <c r="R85" i="2"/>
  <c r="R21" i="2"/>
  <c r="R249" i="2"/>
  <c r="R264" i="2"/>
  <c r="R200" i="2"/>
  <c r="R136" i="2"/>
  <c r="R72" i="2"/>
  <c r="R8" i="2"/>
  <c r="R228" i="2"/>
  <c r="R164" i="2"/>
  <c r="R100" i="2"/>
  <c r="R36" i="2"/>
  <c r="R254" i="2"/>
  <c r="R190" i="2"/>
  <c r="R126" i="2"/>
  <c r="R62" i="2"/>
  <c r="R282" i="2"/>
  <c r="R218" i="2"/>
  <c r="R154" i="2"/>
  <c r="R90" i="2"/>
  <c r="R26" i="2"/>
  <c r="R247" i="2"/>
  <c r="R183" i="2"/>
  <c r="R119" i="2"/>
  <c r="R55" i="2"/>
  <c r="R275" i="2"/>
  <c r="R211" i="2"/>
  <c r="R147" i="2"/>
  <c r="R83" i="2"/>
  <c r="R19" i="2"/>
  <c r="R48" i="2"/>
  <c r="R12" i="2"/>
  <c r="R258" i="2"/>
  <c r="R177" i="2"/>
  <c r="R49" i="2"/>
  <c r="R273" i="2"/>
  <c r="R269" i="2"/>
  <c r="R205" i="2"/>
  <c r="R141" i="2"/>
  <c r="R77" i="2"/>
  <c r="R13" i="2"/>
  <c r="R169" i="2"/>
  <c r="R256" i="2"/>
  <c r="R192" i="2"/>
  <c r="R128" i="2"/>
  <c r="R64" i="2"/>
  <c r="R284" i="2"/>
  <c r="R220" i="2"/>
  <c r="R156" i="2"/>
  <c r="R92" i="2"/>
  <c r="R28" i="2"/>
  <c r="R246" i="2"/>
  <c r="R182" i="2"/>
  <c r="R118" i="2"/>
  <c r="R54" i="2"/>
  <c r="R274" i="2"/>
  <c r="R210" i="2"/>
  <c r="R146" i="2"/>
  <c r="R82" i="2"/>
  <c r="R18" i="2"/>
  <c r="R239" i="2"/>
  <c r="R175" i="2"/>
  <c r="R111" i="2"/>
  <c r="R47" i="2"/>
  <c r="R267" i="2"/>
  <c r="R203" i="2"/>
  <c r="R139" i="2"/>
  <c r="R75" i="2"/>
  <c r="R11" i="2"/>
  <c r="R230" i="2"/>
  <c r="R129" i="2"/>
  <c r="R9" i="2"/>
  <c r="R225" i="2"/>
  <c r="R261" i="2"/>
  <c r="R197" i="2"/>
  <c r="R133" i="2"/>
  <c r="R69" i="2"/>
  <c r="R5" i="2"/>
  <c r="R248" i="2"/>
  <c r="R184" i="2"/>
  <c r="R120" i="2"/>
  <c r="R56" i="2"/>
  <c r="R276" i="2"/>
  <c r="R212" i="2"/>
  <c r="R148" i="2"/>
  <c r="R84" i="2"/>
  <c r="R238" i="2"/>
  <c r="R174" i="2"/>
  <c r="R110" i="2"/>
  <c r="R46" i="2"/>
  <c r="R266" i="2"/>
  <c r="R202" i="2"/>
  <c r="R138" i="2"/>
  <c r="R74" i="2"/>
  <c r="R231" i="2"/>
  <c r="R167" i="2"/>
  <c r="R103" i="2"/>
  <c r="R39" i="2"/>
  <c r="R259" i="2"/>
  <c r="R195" i="2"/>
  <c r="R131" i="2"/>
  <c r="R6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96A1B-878C-4474-AE9B-E3E9F3EBC367}" keepAlive="1" name="Query - dat69" description="Connection to the 'dat69' query in the workbook." type="5" refreshedVersion="7" background="1" saveData="1">
    <dbPr connection="Provider=Microsoft.Mashup.OleDb.1;Data Source=$Workbook$;Location=dat69;Extended Properties=&quot;&quot;" command="SELECT * FROM [dat69]"/>
  </connection>
  <connection id="2" xr16:uid="{1FFAF7C4-CD72-44CD-B22F-F4EFD90140AB}" keepAlive="1" name="Query - dat80" description="Connection to the 'dat80' query in the workbook." type="5" refreshedVersion="7" background="1" saveData="1">
    <dbPr connection="Provider=Microsoft.Mashup.OleDb.1;Data Source=$Workbook$;Location=dat80;Extended Properties=&quot;&quot;" command="SELECT * FROM [dat80]"/>
  </connection>
</connections>
</file>

<file path=xl/sharedStrings.xml><?xml version="1.0" encoding="utf-8"?>
<sst xmlns="http://schemas.openxmlformats.org/spreadsheetml/2006/main" count="189" uniqueCount="48">
  <si>
    <t>Year</t>
  </si>
  <si>
    <t>Quarter</t>
  </si>
  <si>
    <t>Expenditure</t>
  </si>
  <si>
    <t>Date</t>
  </si>
  <si>
    <t>LOG(Growth Rate)</t>
  </si>
  <si>
    <t>Annualized Growth Rate</t>
  </si>
  <si>
    <t>Linear Trend</t>
  </si>
  <si>
    <t>Quadratic Trend</t>
  </si>
  <si>
    <t>DecDate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</si>
  <si>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</si>
  <si>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</si>
  <si>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</si>
  <si>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</si>
  <si>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</si>
  <si>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</si>
  <si>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</si>
  <si>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</si>
  <si>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</si>
  <si>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</si>
  <si>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</si>
  <si>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</si>
  <si>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</si>
  <si>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</si>
  <si>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</si>
  <si>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</si>
  <si>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</si>
  <si>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</si>
  <si>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</si>
  <si>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</si>
  <si>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</si>
  <si>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</si>
  <si>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</si>
  <si>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</si>
  <si>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</si>
  <si>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DecDate^2</t>
  </si>
  <si>
    <t>X Variable 2</t>
  </si>
  <si>
    <t>Linear Trend LOG</t>
  </si>
  <si>
    <t>Quadratic Trend LOG</t>
  </si>
  <si>
    <t>Detrend(Linear)</t>
  </si>
  <si>
    <t>Low Frequency</t>
  </si>
  <si>
    <t>High Frequency</t>
  </si>
  <si>
    <t>S0</t>
  </si>
  <si>
    <t>Seasonal</t>
  </si>
  <si>
    <t>LOG(Expenditure 80)</t>
  </si>
  <si>
    <t>LOG(Expenditure 69)</t>
  </si>
  <si>
    <t>Cycle 80</t>
  </si>
  <si>
    <t>Detrend(Quadratic)</t>
  </si>
  <si>
    <t>Cycle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</si>
</sst>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Expenditure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'dat80'!$F$1</c:f>
              <c:strCache>
                <c:ptCount val="1"/>
                <c:pt idx="0">
                  <c:v>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'dat80'!$F$2:$F$285</c:f>
              <c:numCache>
                <c:formatCode>General</c:formatCode>
                <c:ptCount val="284"/>
                <c:pt idx="0">
                  <c:v>844</c:v>
                </c:pt>
                <c:pt idx="1">
                  <c:v>799</c:v>
                </c:pt>
                <c:pt idx="2">
                  <c:v>824</c:v>
                </c:pt>
                <c:pt idx="3">
                  <c:v>784</c:v>
                </c:pt>
                <c:pt idx="4">
                  <c:v>856</c:v>
                </c:pt>
                <c:pt idx="5">
                  <c:v>810</c:v>
                </c:pt>
                <c:pt idx="6">
                  <c:v>836</c:v>
                </c:pt>
                <c:pt idx="7">
                  <c:v>787</c:v>
                </c:pt>
                <c:pt idx="8">
                  <c:v>866</c:v>
                </c:pt>
                <c:pt idx="9">
                  <c:v>822</c:v>
                </c:pt>
                <c:pt idx="10">
                  <c:v>842</c:v>
                </c:pt>
                <c:pt idx="11">
                  <c:v>799</c:v>
                </c:pt>
                <c:pt idx="12">
                  <c:v>869</c:v>
                </c:pt>
                <c:pt idx="13">
                  <c:v>821</c:v>
                </c:pt>
                <c:pt idx="14">
                  <c:v>847</c:v>
                </c:pt>
                <c:pt idx="15">
                  <c:v>797</c:v>
                </c:pt>
                <c:pt idx="16">
                  <c:v>871</c:v>
                </c:pt>
                <c:pt idx="17">
                  <c:v>827</c:v>
                </c:pt>
                <c:pt idx="18">
                  <c:v>847</c:v>
                </c:pt>
                <c:pt idx="19">
                  <c:v>807</c:v>
                </c:pt>
                <c:pt idx="20">
                  <c:v>881</c:v>
                </c:pt>
                <c:pt idx="21">
                  <c:v>840</c:v>
                </c:pt>
                <c:pt idx="22">
                  <c:v>859</c:v>
                </c:pt>
                <c:pt idx="23">
                  <c:v>820</c:v>
                </c:pt>
                <c:pt idx="24">
                  <c:v>894</c:v>
                </c:pt>
                <c:pt idx="25">
                  <c:v>845</c:v>
                </c:pt>
                <c:pt idx="26">
                  <c:v>858</c:v>
                </c:pt>
                <c:pt idx="27">
                  <c:v>822</c:v>
                </c:pt>
                <c:pt idx="28">
                  <c:v>893</c:v>
                </c:pt>
                <c:pt idx="29">
                  <c:v>845</c:v>
                </c:pt>
                <c:pt idx="30">
                  <c:v>868</c:v>
                </c:pt>
                <c:pt idx="31">
                  <c:v>831</c:v>
                </c:pt>
                <c:pt idx="32">
                  <c:v>898</c:v>
                </c:pt>
                <c:pt idx="33">
                  <c:v>852</c:v>
                </c:pt>
                <c:pt idx="34">
                  <c:v>886</c:v>
                </c:pt>
                <c:pt idx="35">
                  <c:v>828</c:v>
                </c:pt>
                <c:pt idx="36">
                  <c:v>907</c:v>
                </c:pt>
                <c:pt idx="37">
                  <c:v>849</c:v>
                </c:pt>
                <c:pt idx="38">
                  <c:v>890</c:v>
                </c:pt>
                <c:pt idx="39">
                  <c:v>846</c:v>
                </c:pt>
                <c:pt idx="40">
                  <c:v>911</c:v>
                </c:pt>
                <c:pt idx="41">
                  <c:v>852</c:v>
                </c:pt>
                <c:pt idx="42">
                  <c:v>885</c:v>
                </c:pt>
                <c:pt idx="43">
                  <c:v>848</c:v>
                </c:pt>
                <c:pt idx="44">
                  <c:v>918</c:v>
                </c:pt>
                <c:pt idx="45">
                  <c:v>867</c:v>
                </c:pt>
                <c:pt idx="46">
                  <c:v>887</c:v>
                </c:pt>
                <c:pt idx="47">
                  <c:v>852</c:v>
                </c:pt>
                <c:pt idx="48">
                  <c:v>924</c:v>
                </c:pt>
                <c:pt idx="49">
                  <c:v>880</c:v>
                </c:pt>
                <c:pt idx="50">
                  <c:v>905</c:v>
                </c:pt>
                <c:pt idx="51">
                  <c:v>868</c:v>
                </c:pt>
                <c:pt idx="52">
                  <c:v>932</c:v>
                </c:pt>
                <c:pt idx="53">
                  <c:v>888</c:v>
                </c:pt>
                <c:pt idx="54">
                  <c:v>910</c:v>
                </c:pt>
                <c:pt idx="55">
                  <c:v>868</c:v>
                </c:pt>
                <c:pt idx="56">
                  <c:v>947</c:v>
                </c:pt>
                <c:pt idx="57">
                  <c:v>886</c:v>
                </c:pt>
                <c:pt idx="58">
                  <c:v>905</c:v>
                </c:pt>
                <c:pt idx="59">
                  <c:v>868</c:v>
                </c:pt>
                <c:pt idx="60">
                  <c:v>943</c:v>
                </c:pt>
                <c:pt idx="61">
                  <c:v>895</c:v>
                </c:pt>
                <c:pt idx="62">
                  <c:v>923</c:v>
                </c:pt>
                <c:pt idx="63">
                  <c:v>885</c:v>
                </c:pt>
                <c:pt idx="64">
                  <c:v>958</c:v>
                </c:pt>
                <c:pt idx="65">
                  <c:v>903</c:v>
                </c:pt>
                <c:pt idx="66">
                  <c:v>929</c:v>
                </c:pt>
                <c:pt idx="67">
                  <c:v>892</c:v>
                </c:pt>
                <c:pt idx="68">
                  <c:v>967</c:v>
                </c:pt>
                <c:pt idx="69">
                  <c:v>908</c:v>
                </c:pt>
                <c:pt idx="70">
                  <c:v>935</c:v>
                </c:pt>
                <c:pt idx="71">
                  <c:v>895</c:v>
                </c:pt>
                <c:pt idx="72">
                  <c:v>970</c:v>
                </c:pt>
                <c:pt idx="73">
                  <c:v>907</c:v>
                </c:pt>
                <c:pt idx="74">
                  <c:v>940</c:v>
                </c:pt>
                <c:pt idx="75">
                  <c:v>905</c:v>
                </c:pt>
                <c:pt idx="76">
                  <c:v>972</c:v>
                </c:pt>
                <c:pt idx="77">
                  <c:v>934</c:v>
                </c:pt>
                <c:pt idx="78">
                  <c:v>961</c:v>
                </c:pt>
                <c:pt idx="79">
                  <c:v>914</c:v>
                </c:pt>
                <c:pt idx="80">
                  <c:v>985</c:v>
                </c:pt>
                <c:pt idx="81">
                  <c:v>931</c:v>
                </c:pt>
                <c:pt idx="82">
                  <c:v>954</c:v>
                </c:pt>
                <c:pt idx="83">
                  <c:v>911</c:v>
                </c:pt>
                <c:pt idx="84">
                  <c:v>984</c:v>
                </c:pt>
                <c:pt idx="85">
                  <c:v>937</c:v>
                </c:pt>
                <c:pt idx="86">
                  <c:v>961</c:v>
                </c:pt>
                <c:pt idx="87">
                  <c:v>925</c:v>
                </c:pt>
                <c:pt idx="88">
                  <c:v>995</c:v>
                </c:pt>
                <c:pt idx="89">
                  <c:v>941</c:v>
                </c:pt>
                <c:pt idx="90">
                  <c:v>976</c:v>
                </c:pt>
                <c:pt idx="91">
                  <c:v>929</c:v>
                </c:pt>
                <c:pt idx="92">
                  <c:v>998</c:v>
                </c:pt>
                <c:pt idx="93">
                  <c:v>957</c:v>
                </c:pt>
                <c:pt idx="94">
                  <c:v>978</c:v>
                </c:pt>
                <c:pt idx="95">
                  <c:v>926</c:v>
                </c:pt>
                <c:pt idx="96">
                  <c:v>1006</c:v>
                </c:pt>
                <c:pt idx="97">
                  <c:v>955</c:v>
                </c:pt>
                <c:pt idx="98">
                  <c:v>988</c:v>
                </c:pt>
                <c:pt idx="99">
                  <c:v>934</c:v>
                </c:pt>
                <c:pt idx="100">
                  <c:v>1014</c:v>
                </c:pt>
                <c:pt idx="101">
                  <c:v>966</c:v>
                </c:pt>
                <c:pt idx="102">
                  <c:v>991</c:v>
                </c:pt>
                <c:pt idx="103">
                  <c:v>941</c:v>
                </c:pt>
                <c:pt idx="104">
                  <c:v>1009</c:v>
                </c:pt>
                <c:pt idx="105">
                  <c:v>966</c:v>
                </c:pt>
                <c:pt idx="106">
                  <c:v>1004</c:v>
                </c:pt>
                <c:pt idx="107">
                  <c:v>962</c:v>
                </c:pt>
                <c:pt idx="108">
                  <c:v>1031</c:v>
                </c:pt>
                <c:pt idx="109">
                  <c:v>972</c:v>
                </c:pt>
                <c:pt idx="110">
                  <c:v>1009</c:v>
                </c:pt>
                <c:pt idx="111">
                  <c:v>957</c:v>
                </c:pt>
                <c:pt idx="112">
                  <c:v>1019</c:v>
                </c:pt>
                <c:pt idx="113">
                  <c:v>977</c:v>
                </c:pt>
                <c:pt idx="114">
                  <c:v>1010</c:v>
                </c:pt>
                <c:pt idx="115">
                  <c:v>970</c:v>
                </c:pt>
                <c:pt idx="116">
                  <c:v>1048</c:v>
                </c:pt>
                <c:pt idx="117">
                  <c:v>996</c:v>
                </c:pt>
                <c:pt idx="118">
                  <c:v>1028</c:v>
                </c:pt>
                <c:pt idx="119">
                  <c:v>974</c:v>
                </c:pt>
                <c:pt idx="120">
                  <c:v>1046</c:v>
                </c:pt>
                <c:pt idx="121">
                  <c:v>999</c:v>
                </c:pt>
                <c:pt idx="122">
                  <c:v>1033</c:v>
                </c:pt>
                <c:pt idx="123">
                  <c:v>990</c:v>
                </c:pt>
                <c:pt idx="124">
                  <c:v>1057</c:v>
                </c:pt>
                <c:pt idx="125">
                  <c:v>1004</c:v>
                </c:pt>
                <c:pt idx="126">
                  <c:v>1030</c:v>
                </c:pt>
                <c:pt idx="127">
                  <c:v>996</c:v>
                </c:pt>
                <c:pt idx="128">
                  <c:v>1063</c:v>
                </c:pt>
                <c:pt idx="129">
                  <c:v>1023</c:v>
                </c:pt>
                <c:pt idx="130">
                  <c:v>1049</c:v>
                </c:pt>
                <c:pt idx="131">
                  <c:v>999</c:v>
                </c:pt>
                <c:pt idx="132">
                  <c:v>1070</c:v>
                </c:pt>
                <c:pt idx="133">
                  <c:v>1021</c:v>
                </c:pt>
                <c:pt idx="134">
                  <c:v>1056</c:v>
                </c:pt>
                <c:pt idx="135">
                  <c:v>1016</c:v>
                </c:pt>
                <c:pt idx="136">
                  <c:v>1084</c:v>
                </c:pt>
                <c:pt idx="137">
                  <c:v>1028</c:v>
                </c:pt>
                <c:pt idx="138">
                  <c:v>1047</c:v>
                </c:pt>
                <c:pt idx="139">
                  <c:v>1016</c:v>
                </c:pt>
                <c:pt idx="140">
                  <c:v>1092</c:v>
                </c:pt>
                <c:pt idx="141">
                  <c:v>1036</c:v>
                </c:pt>
                <c:pt idx="142">
                  <c:v>1058</c:v>
                </c:pt>
                <c:pt idx="143">
                  <c:v>1027</c:v>
                </c:pt>
                <c:pt idx="144">
                  <c:v>1092</c:v>
                </c:pt>
                <c:pt idx="145">
                  <c:v>1041</c:v>
                </c:pt>
                <c:pt idx="146">
                  <c:v>1078</c:v>
                </c:pt>
                <c:pt idx="147">
                  <c:v>1025</c:v>
                </c:pt>
                <c:pt idx="148">
                  <c:v>1105</c:v>
                </c:pt>
                <c:pt idx="149">
                  <c:v>1046</c:v>
                </c:pt>
                <c:pt idx="150">
                  <c:v>1079</c:v>
                </c:pt>
                <c:pt idx="151">
                  <c:v>1042</c:v>
                </c:pt>
                <c:pt idx="152">
                  <c:v>1102</c:v>
                </c:pt>
                <c:pt idx="153">
                  <c:v>1061</c:v>
                </c:pt>
                <c:pt idx="154">
                  <c:v>1095</c:v>
                </c:pt>
                <c:pt idx="155">
                  <c:v>1043</c:v>
                </c:pt>
                <c:pt idx="156">
                  <c:v>1118</c:v>
                </c:pt>
                <c:pt idx="157">
                  <c:v>1071</c:v>
                </c:pt>
                <c:pt idx="158">
                  <c:v>1093</c:v>
                </c:pt>
                <c:pt idx="159">
                  <c:v>1052</c:v>
                </c:pt>
                <c:pt idx="160">
                  <c:v>1127</c:v>
                </c:pt>
                <c:pt idx="161">
                  <c:v>1075</c:v>
                </c:pt>
                <c:pt idx="162">
                  <c:v>1104</c:v>
                </c:pt>
                <c:pt idx="163">
                  <c:v>1069</c:v>
                </c:pt>
                <c:pt idx="164">
                  <c:v>1131</c:v>
                </c:pt>
                <c:pt idx="165">
                  <c:v>1078</c:v>
                </c:pt>
                <c:pt idx="166">
                  <c:v>1109</c:v>
                </c:pt>
                <c:pt idx="167">
                  <c:v>1066</c:v>
                </c:pt>
                <c:pt idx="168">
                  <c:v>1139</c:v>
                </c:pt>
                <c:pt idx="169">
                  <c:v>1096</c:v>
                </c:pt>
                <c:pt idx="170">
                  <c:v>1119</c:v>
                </c:pt>
                <c:pt idx="171">
                  <c:v>1078</c:v>
                </c:pt>
                <c:pt idx="172">
                  <c:v>1155</c:v>
                </c:pt>
                <c:pt idx="173">
                  <c:v>1100</c:v>
                </c:pt>
                <c:pt idx="174">
                  <c:v>1135</c:v>
                </c:pt>
                <c:pt idx="175">
                  <c:v>1089</c:v>
                </c:pt>
                <c:pt idx="176">
                  <c:v>1156</c:v>
                </c:pt>
                <c:pt idx="177">
                  <c:v>1100</c:v>
                </c:pt>
                <c:pt idx="178">
                  <c:v>1126</c:v>
                </c:pt>
                <c:pt idx="179">
                  <c:v>1085</c:v>
                </c:pt>
                <c:pt idx="180">
                  <c:v>1165</c:v>
                </c:pt>
                <c:pt idx="181">
                  <c:v>1109</c:v>
                </c:pt>
                <c:pt idx="182">
                  <c:v>1143</c:v>
                </c:pt>
                <c:pt idx="183">
                  <c:v>1101</c:v>
                </c:pt>
                <c:pt idx="184">
                  <c:v>1183</c:v>
                </c:pt>
                <c:pt idx="185">
                  <c:v>1130</c:v>
                </c:pt>
                <c:pt idx="186">
                  <c:v>1163</c:v>
                </c:pt>
                <c:pt idx="187">
                  <c:v>1113</c:v>
                </c:pt>
                <c:pt idx="188">
                  <c:v>1188</c:v>
                </c:pt>
                <c:pt idx="189">
                  <c:v>1128</c:v>
                </c:pt>
                <c:pt idx="190">
                  <c:v>1163</c:v>
                </c:pt>
                <c:pt idx="191">
                  <c:v>1126</c:v>
                </c:pt>
                <c:pt idx="192">
                  <c:v>1191</c:v>
                </c:pt>
                <c:pt idx="193">
                  <c:v>1145</c:v>
                </c:pt>
                <c:pt idx="194">
                  <c:v>1171</c:v>
                </c:pt>
                <c:pt idx="195">
                  <c:v>1136</c:v>
                </c:pt>
                <c:pt idx="196">
                  <c:v>1206</c:v>
                </c:pt>
                <c:pt idx="197">
                  <c:v>1151</c:v>
                </c:pt>
                <c:pt idx="198">
                  <c:v>1172</c:v>
                </c:pt>
                <c:pt idx="199">
                  <c:v>1134</c:v>
                </c:pt>
                <c:pt idx="200">
                  <c:v>1212</c:v>
                </c:pt>
                <c:pt idx="201">
                  <c:v>1159</c:v>
                </c:pt>
                <c:pt idx="202">
                  <c:v>1187</c:v>
                </c:pt>
                <c:pt idx="203">
                  <c:v>1139</c:v>
                </c:pt>
                <c:pt idx="204">
                  <c:v>1219</c:v>
                </c:pt>
                <c:pt idx="205">
                  <c:v>1153</c:v>
                </c:pt>
                <c:pt idx="206">
                  <c:v>1183</c:v>
                </c:pt>
                <c:pt idx="207">
                  <c:v>1147</c:v>
                </c:pt>
                <c:pt idx="208">
                  <c:v>1230</c:v>
                </c:pt>
                <c:pt idx="209">
                  <c:v>1185</c:v>
                </c:pt>
                <c:pt idx="210">
                  <c:v>1211</c:v>
                </c:pt>
                <c:pt idx="211">
                  <c:v>1156</c:v>
                </c:pt>
                <c:pt idx="212">
                  <c:v>1245</c:v>
                </c:pt>
                <c:pt idx="213">
                  <c:v>1187</c:v>
                </c:pt>
                <c:pt idx="214">
                  <c:v>1203</c:v>
                </c:pt>
                <c:pt idx="215">
                  <c:v>1165</c:v>
                </c:pt>
                <c:pt idx="216">
                  <c:v>1244</c:v>
                </c:pt>
                <c:pt idx="217">
                  <c:v>1201</c:v>
                </c:pt>
                <c:pt idx="218">
                  <c:v>1224</c:v>
                </c:pt>
                <c:pt idx="219">
                  <c:v>1181</c:v>
                </c:pt>
                <c:pt idx="220">
                  <c:v>1246</c:v>
                </c:pt>
                <c:pt idx="221">
                  <c:v>1208</c:v>
                </c:pt>
                <c:pt idx="222">
                  <c:v>1234</c:v>
                </c:pt>
                <c:pt idx="223">
                  <c:v>1186</c:v>
                </c:pt>
                <c:pt idx="224">
                  <c:v>1257</c:v>
                </c:pt>
                <c:pt idx="225">
                  <c:v>1211</c:v>
                </c:pt>
                <c:pt idx="226">
                  <c:v>1238</c:v>
                </c:pt>
                <c:pt idx="227">
                  <c:v>1191</c:v>
                </c:pt>
                <c:pt idx="228">
                  <c:v>1264</c:v>
                </c:pt>
                <c:pt idx="229">
                  <c:v>1221</c:v>
                </c:pt>
                <c:pt idx="230">
                  <c:v>1252</c:v>
                </c:pt>
                <c:pt idx="231">
                  <c:v>1203</c:v>
                </c:pt>
                <c:pt idx="232">
                  <c:v>1275</c:v>
                </c:pt>
                <c:pt idx="233">
                  <c:v>1232</c:v>
                </c:pt>
                <c:pt idx="234">
                  <c:v>1262</c:v>
                </c:pt>
                <c:pt idx="235">
                  <c:v>1206</c:v>
                </c:pt>
                <c:pt idx="236">
                  <c:v>1283</c:v>
                </c:pt>
                <c:pt idx="237">
                  <c:v>1247</c:v>
                </c:pt>
                <c:pt idx="238">
                  <c:v>1273</c:v>
                </c:pt>
                <c:pt idx="239">
                  <c:v>1225</c:v>
                </c:pt>
                <c:pt idx="240">
                  <c:v>1299</c:v>
                </c:pt>
                <c:pt idx="241">
                  <c:v>1253</c:v>
                </c:pt>
                <c:pt idx="242">
                  <c:v>1267</c:v>
                </c:pt>
                <c:pt idx="243">
                  <c:v>1226</c:v>
                </c:pt>
                <c:pt idx="244">
                  <c:v>1304</c:v>
                </c:pt>
                <c:pt idx="245">
                  <c:v>1248</c:v>
                </c:pt>
                <c:pt idx="246">
                  <c:v>1282</c:v>
                </c:pt>
                <c:pt idx="247">
                  <c:v>1241</c:v>
                </c:pt>
                <c:pt idx="248">
                  <c:v>1311</c:v>
                </c:pt>
                <c:pt idx="249">
                  <c:v>1255</c:v>
                </c:pt>
                <c:pt idx="250">
                  <c:v>1292</c:v>
                </c:pt>
                <c:pt idx="251">
                  <c:v>1262</c:v>
                </c:pt>
                <c:pt idx="252">
                  <c:v>1318</c:v>
                </c:pt>
                <c:pt idx="253">
                  <c:v>1279</c:v>
                </c:pt>
                <c:pt idx="254">
                  <c:v>1311</c:v>
                </c:pt>
                <c:pt idx="255">
                  <c:v>1260</c:v>
                </c:pt>
                <c:pt idx="256">
                  <c:v>1330</c:v>
                </c:pt>
                <c:pt idx="257">
                  <c:v>1281</c:v>
                </c:pt>
                <c:pt idx="258">
                  <c:v>1310</c:v>
                </c:pt>
                <c:pt idx="259">
                  <c:v>1269</c:v>
                </c:pt>
                <c:pt idx="260">
                  <c:v>1350</c:v>
                </c:pt>
                <c:pt idx="261">
                  <c:v>1295</c:v>
                </c:pt>
                <c:pt idx="262">
                  <c:v>1324</c:v>
                </c:pt>
                <c:pt idx="263">
                  <c:v>1285</c:v>
                </c:pt>
                <c:pt idx="264">
                  <c:v>1353</c:v>
                </c:pt>
                <c:pt idx="265">
                  <c:v>1310</c:v>
                </c:pt>
                <c:pt idx="266">
                  <c:v>1331</c:v>
                </c:pt>
                <c:pt idx="267">
                  <c:v>1279</c:v>
                </c:pt>
                <c:pt idx="268">
                  <c:v>1359</c:v>
                </c:pt>
                <c:pt idx="269">
                  <c:v>1315</c:v>
                </c:pt>
                <c:pt idx="270">
                  <c:v>1343</c:v>
                </c:pt>
                <c:pt idx="271">
                  <c:v>1304</c:v>
                </c:pt>
                <c:pt idx="272">
                  <c:v>1370</c:v>
                </c:pt>
                <c:pt idx="273">
                  <c:v>1330</c:v>
                </c:pt>
                <c:pt idx="274">
                  <c:v>1356</c:v>
                </c:pt>
                <c:pt idx="275">
                  <c:v>1312</c:v>
                </c:pt>
                <c:pt idx="276">
                  <c:v>1385</c:v>
                </c:pt>
                <c:pt idx="277">
                  <c:v>1338</c:v>
                </c:pt>
                <c:pt idx="278">
                  <c:v>1366</c:v>
                </c:pt>
                <c:pt idx="279">
                  <c:v>1321</c:v>
                </c:pt>
                <c:pt idx="280">
                  <c:v>1400</c:v>
                </c:pt>
                <c:pt idx="281">
                  <c:v>1347</c:v>
                </c:pt>
                <c:pt idx="282">
                  <c:v>1373</c:v>
                </c:pt>
                <c:pt idx="283">
                  <c:v>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9-41FB-8522-CD55B9DDC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362736"/>
        <c:axId val="1520363568"/>
      </c:lineChart>
      <c:dateAx>
        <c:axId val="152036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63568"/>
        <c:crosses val="autoZero"/>
        <c:auto val="1"/>
        <c:lblOffset val="100"/>
        <c:baseTimeUnit val="months"/>
        <c:majorUnit val="40"/>
        <c:majorTimeUnit val="months"/>
      </c:dateAx>
      <c:valAx>
        <c:axId val="1520363568"/>
        <c:scaling>
          <c:orientation val="minMax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Expenditure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'dat80'!$H$1</c:f>
              <c:strCache>
                <c:ptCount val="1"/>
                <c:pt idx="0">
                  <c:v>LOG(Growth Rate)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'dat80'!$H$2:$H$285</c:f>
              <c:numCache>
                <c:formatCode>General</c:formatCode>
                <c:ptCount val="284"/>
                <c:pt idx="1">
                  <c:v>-5.4791548829682846E-2</c:v>
                </c:pt>
                <c:pt idx="2">
                  <c:v>3.0809584143197455E-2</c:v>
                </c:pt>
                <c:pt idx="3">
                  <c:v>-4.9761509559064443E-2</c:v>
                </c:pt>
                <c:pt idx="4">
                  <c:v>8.7861355791334361E-2</c:v>
                </c:pt>
                <c:pt idx="5">
                  <c:v>-5.5236128475257829E-2</c:v>
                </c:pt>
                <c:pt idx="6">
                  <c:v>3.1594365418217585E-2</c:v>
                </c:pt>
                <c:pt idx="7">
                  <c:v>-6.0400364667298589E-2</c:v>
                </c:pt>
                <c:pt idx="8">
                  <c:v>9.5656660145031935E-2</c:v>
                </c:pt>
                <c:pt idx="9">
                  <c:v>-5.2144513506255485E-2</c:v>
                </c:pt>
                <c:pt idx="10">
                  <c:v>2.4039619186146943E-2</c:v>
                </c:pt>
                <c:pt idx="11">
                  <c:v>-5.2419068476051933E-2</c:v>
                </c:pt>
                <c:pt idx="12">
                  <c:v>8.3982179499117571E-2</c:v>
                </c:pt>
                <c:pt idx="13">
                  <c:v>-5.6820015812964364E-2</c:v>
                </c:pt>
                <c:pt idx="14">
                  <c:v>3.1177585199626989E-2</c:v>
                </c:pt>
                <c:pt idx="15">
                  <c:v>-6.0846015861839575E-2</c:v>
                </c:pt>
                <c:pt idx="16">
                  <c:v>8.878729806228769E-2</c:v>
                </c:pt>
                <c:pt idx="17">
                  <c:v>-5.1837281828811754E-2</c:v>
                </c:pt>
                <c:pt idx="18">
                  <c:v>2.389599962836364E-2</c:v>
                </c:pt>
                <c:pt idx="19">
                  <c:v>-4.8377026382105726E-2</c:v>
                </c:pt>
                <c:pt idx="20">
                  <c:v>8.7733957666230822E-2</c:v>
                </c:pt>
                <c:pt idx="21">
                  <c:v>-4.7655734098820624E-2</c:v>
                </c:pt>
                <c:pt idx="22">
                  <c:v>2.2367030146895672E-2</c:v>
                </c:pt>
                <c:pt idx="23">
                  <c:v>-4.6464581725956577E-2</c:v>
                </c:pt>
                <c:pt idx="24">
                  <c:v>8.6401434915215347E-2</c:v>
                </c:pt>
                <c:pt idx="25">
                  <c:v>-5.6369147816339726E-2</c:v>
                </c:pt>
                <c:pt idx="26">
                  <c:v>1.5267472130788384E-2</c:v>
                </c:pt>
                <c:pt idx="27">
                  <c:v>-4.2863704431782779E-2</c:v>
                </c:pt>
                <c:pt idx="28">
                  <c:v>8.2846185820319107E-2</c:v>
                </c:pt>
                <c:pt idx="29">
                  <c:v>-5.5249953519324713E-2</c:v>
                </c:pt>
                <c:pt idx="30">
                  <c:v>2.6855087303176539E-2</c:v>
                </c:pt>
                <c:pt idx="31">
                  <c:v>-4.3561919804901983E-2</c:v>
                </c:pt>
                <c:pt idx="32">
                  <c:v>7.7540273446751407E-2</c:v>
                </c:pt>
                <c:pt idx="33">
                  <c:v>-5.2583541472884576E-2</c:v>
                </c:pt>
                <c:pt idx="34">
                  <c:v>3.9130423775765699E-2</c:v>
                </c:pt>
                <c:pt idx="35">
                  <c:v>-6.7703796219821477E-2</c:v>
                </c:pt>
                <c:pt idx="36">
                  <c:v>9.1129295729876603E-2</c:v>
                </c:pt>
                <c:pt idx="37">
                  <c:v>-6.6083263803788483E-2</c:v>
                </c:pt>
                <c:pt idx="38">
                  <c:v>4.7162276414837834E-2</c:v>
                </c:pt>
                <c:pt idx="39">
                  <c:v>-5.0702103119962594E-2</c:v>
                </c:pt>
                <c:pt idx="40">
                  <c:v>7.4023537653735261E-2</c:v>
                </c:pt>
                <c:pt idx="41">
                  <c:v>-6.6956370430642842E-2</c:v>
                </c:pt>
                <c:pt idx="42">
                  <c:v>3.8001118178613957E-2</c:v>
                </c:pt>
                <c:pt idx="43">
                  <c:v>-4.2707009216026215E-2</c:v>
                </c:pt>
                <c:pt idx="44">
                  <c:v>7.9316754828587577E-2</c:v>
                </c:pt>
                <c:pt idx="45">
                  <c:v>-5.715841383994924E-2</c:v>
                </c:pt>
                <c:pt idx="46">
                  <c:v>2.2806005529037776E-2</c:v>
                </c:pt>
                <c:pt idx="47">
                  <c:v>-4.0258455480263855E-2</c:v>
                </c:pt>
                <c:pt idx="48">
                  <c:v>8.1125544812368666E-2</c:v>
                </c:pt>
                <c:pt idx="49">
                  <c:v>-4.879016416943216E-2</c:v>
                </c:pt>
                <c:pt idx="50">
                  <c:v>2.8013036227673815E-2</c:v>
                </c:pt>
                <c:pt idx="51">
                  <c:v>-4.1743229039575169E-2</c:v>
                </c:pt>
                <c:pt idx="52">
                  <c:v>7.1141100025240434E-2</c:v>
                </c:pt>
                <c:pt idx="53">
                  <c:v>-4.8361071693420854E-2</c:v>
                </c:pt>
                <c:pt idx="54">
                  <c:v>2.447285651872555E-2</c:v>
                </c:pt>
                <c:pt idx="55">
                  <c:v>-4.7252884850545129E-2</c:v>
                </c:pt>
                <c:pt idx="56">
                  <c:v>8.7107378525727697E-2</c:v>
                </c:pt>
                <c:pt idx="57">
                  <c:v>-6.658214258099715E-2</c:v>
                </c:pt>
                <c:pt idx="58">
                  <c:v>2.1217993094844623E-2</c:v>
                </c:pt>
                <c:pt idx="59">
                  <c:v>-4.1743229039575169E-2</c:v>
                </c:pt>
                <c:pt idx="60">
                  <c:v>8.2874567973107105E-2</c:v>
                </c:pt>
                <c:pt idx="61">
                  <c:v>-5.2242564358602195E-2</c:v>
                </c:pt>
                <c:pt idx="62">
                  <c:v>3.0805516227996321E-2</c:v>
                </c:pt>
                <c:pt idx="63">
                  <c:v>-4.2041589494922427E-2</c:v>
                </c:pt>
                <c:pt idx="64">
                  <c:v>7.9260132962930996E-2</c:v>
                </c:pt>
                <c:pt idx="65">
                  <c:v>-5.9125224553874922E-2</c:v>
                </c:pt>
                <c:pt idx="66">
                  <c:v>2.8386185396852781E-2</c:v>
                </c:pt>
                <c:pt idx="67">
                  <c:v>-4.0642606233828538E-2</c:v>
                </c:pt>
                <c:pt idx="68">
                  <c:v>8.0732362873284558E-2</c:v>
                </c:pt>
                <c:pt idx="69">
                  <c:v>-6.2954116852000475E-2</c:v>
                </c:pt>
                <c:pt idx="70">
                  <c:v>2.9302150687393613E-2</c:v>
                </c:pt>
                <c:pt idx="71">
                  <c:v>-4.3722811013831908E-2</c:v>
                </c:pt>
                <c:pt idx="72">
                  <c:v>8.047235322257329E-2</c:v>
                </c:pt>
                <c:pt idx="73">
                  <c:v>-6.7153621382292528E-2</c:v>
                </c:pt>
                <c:pt idx="74">
                  <c:v>3.5737425148913537E-2</c:v>
                </c:pt>
                <c:pt idx="75">
                  <c:v>-3.794493156412404E-2</c:v>
                </c:pt>
                <c:pt idx="76">
                  <c:v>7.1420860760513349E-2</c:v>
                </c:pt>
                <c:pt idx="77">
                  <c:v>-3.9879366231596158E-2</c:v>
                </c:pt>
                <c:pt idx="78">
                  <c:v>2.8497970741449663E-2</c:v>
                </c:pt>
                <c:pt idx="79">
                  <c:v>-5.0143837516142931E-2</c:v>
                </c:pt>
                <c:pt idx="80">
                  <c:v>7.4811069717939382E-2</c:v>
                </c:pt>
                <c:pt idx="81">
                  <c:v>-5.6382363895021825E-2</c:v>
                </c:pt>
                <c:pt idx="82">
                  <c:v>2.4404394171219757E-2</c:v>
                </c:pt>
                <c:pt idx="83">
                  <c:v>-4.6120774188328717E-2</c:v>
                </c:pt>
                <c:pt idx="84">
                  <c:v>7.7082999792295048E-2</c:v>
                </c:pt>
                <c:pt idx="85">
                  <c:v>-4.894261481383122E-2</c:v>
                </c:pt>
                <c:pt idx="86">
                  <c:v>2.5291126731870506E-2</c:v>
                </c:pt>
                <c:pt idx="87">
                  <c:v>-3.8180671457867632E-2</c:v>
                </c:pt>
                <c:pt idx="88">
                  <c:v>7.2948999646167856E-2</c:v>
                </c:pt>
                <c:pt idx="89">
                  <c:v>-5.5799597573213511E-2</c:v>
                </c:pt>
                <c:pt idx="90">
                  <c:v>3.6519446827712798E-2</c:v>
                </c:pt>
                <c:pt idx="91">
                  <c:v>-4.9353847599253875E-2</c:v>
                </c:pt>
                <c:pt idx="92">
                  <c:v>7.1644537497626004E-2</c:v>
                </c:pt>
                <c:pt idx="93">
                  <c:v>-4.1949884858509812E-2</c:v>
                </c:pt>
                <c:pt idx="94">
                  <c:v>2.1706278581863359E-2</c:v>
                </c:pt>
                <c:pt idx="95">
                  <c:v>-5.4635435388638243E-2</c:v>
                </c:pt>
                <c:pt idx="96">
                  <c:v>8.2863116013505156E-2</c:v>
                </c:pt>
                <c:pt idx="97">
                  <c:v>-5.2026010178954252E-2</c:v>
                </c:pt>
                <c:pt idx="98">
                  <c:v>3.3971357267137847E-2</c:v>
                </c:pt>
                <c:pt idx="99">
                  <c:v>-5.6206259519025359E-2</c:v>
                </c:pt>
                <c:pt idx="100">
                  <c:v>8.2181745922285998E-2</c:v>
                </c:pt>
                <c:pt idx="101">
                  <c:v>-4.8494349938611236E-2</c:v>
                </c:pt>
                <c:pt idx="102">
                  <c:v>2.5550700117470626E-2</c:v>
                </c:pt>
                <c:pt idx="103">
                  <c:v>-5.1771394744609012E-2</c:v>
                </c:pt>
                <c:pt idx="104">
                  <c:v>6.9771880768229266E-2</c:v>
                </c:pt>
                <c:pt idx="105">
                  <c:v>-4.3551186141090881E-2</c:v>
                </c:pt>
                <c:pt idx="106">
                  <c:v>3.8583466039156633E-2</c:v>
                </c:pt>
                <c:pt idx="107">
                  <c:v>-4.2732849585967791E-2</c:v>
                </c:pt>
                <c:pt idx="108">
                  <c:v>6.9270033351253701E-2</c:v>
                </c:pt>
                <c:pt idx="109">
                  <c:v>-5.8928679556521146E-2</c:v>
                </c:pt>
                <c:pt idx="110">
                  <c:v>3.7359215893169484E-2</c:v>
                </c:pt>
                <c:pt idx="111">
                  <c:v>-5.2911628900654151E-2</c:v>
                </c:pt>
                <c:pt idx="112">
                  <c:v>6.2773641769770627E-2</c:v>
                </c:pt>
                <c:pt idx="113">
                  <c:v>-4.2090381179942682E-2</c:v>
                </c:pt>
                <c:pt idx="114">
                  <c:v>3.3218957792522374E-2</c:v>
                </c:pt>
                <c:pt idx="115">
                  <c:v>-4.0409538337875972E-2</c:v>
                </c:pt>
                <c:pt idx="116">
                  <c:v>7.734279338355865E-2</c:v>
                </c:pt>
                <c:pt idx="117">
                  <c:v>-5.0891607296389196E-2</c:v>
                </c:pt>
                <c:pt idx="118">
                  <c:v>3.1623188430511817E-2</c:v>
                </c:pt>
                <c:pt idx="119">
                  <c:v>-5.3959142372574931E-2</c:v>
                </c:pt>
                <c:pt idx="120">
                  <c:v>7.1317340982333555E-2</c:v>
                </c:pt>
                <c:pt idx="121">
                  <c:v>-4.5973865976314698E-2</c:v>
                </c:pt>
                <c:pt idx="122">
                  <c:v>3.3467690471084666E-2</c:v>
                </c:pt>
                <c:pt idx="123">
                  <c:v>-4.2517525991002891E-2</c:v>
                </c:pt>
                <c:pt idx="124">
                  <c:v>6.5485042741602051E-2</c:v>
                </c:pt>
                <c:pt idx="125">
                  <c:v>-5.1442685618563466E-2</c:v>
                </c:pt>
                <c:pt idx="126">
                  <c:v>2.5566780972007486E-2</c:v>
                </c:pt>
                <c:pt idx="127">
                  <c:v>-3.3566823639083587E-2</c:v>
                </c:pt>
                <c:pt idx="128">
                  <c:v>6.5103120757349586E-2</c:v>
                </c:pt>
                <c:pt idx="129">
                  <c:v>-3.8355612390321703E-2</c:v>
                </c:pt>
                <c:pt idx="130">
                  <c:v>2.5097842444671059E-2</c:v>
                </c:pt>
                <c:pt idx="131">
                  <c:v>-4.88378297477432E-2</c:v>
                </c:pt>
                <c:pt idx="132">
                  <c:v>6.8659148807397763E-2</c:v>
                </c:pt>
                <c:pt idx="133">
                  <c:v>-4.6876109291286383E-2</c:v>
                </c:pt>
                <c:pt idx="134">
                  <c:v>3.3705646101541475E-2</c:v>
                </c:pt>
                <c:pt idx="135">
                  <c:v>-3.8614836127779384E-2</c:v>
                </c:pt>
                <c:pt idx="136">
                  <c:v>6.478455386116444E-2</c:v>
                </c:pt>
                <c:pt idx="137">
                  <c:v>-5.3042735984481837E-2</c:v>
                </c:pt>
                <c:pt idx="138">
                  <c:v>1.8313764855427017E-2</c:v>
                </c:pt>
                <c:pt idx="139">
                  <c:v>-3.005558273210962E-2</c:v>
                </c:pt>
                <c:pt idx="140">
                  <c:v>7.2137528166423159E-2</c:v>
                </c:pt>
                <c:pt idx="141">
                  <c:v>-5.2643733485422395E-2</c:v>
                </c:pt>
                <c:pt idx="142">
                  <c:v>2.1013189598816595E-2</c:v>
                </c:pt>
                <c:pt idx="143">
                  <c:v>-2.9738402489686955E-2</c:v>
                </c:pt>
                <c:pt idx="144">
                  <c:v>6.1368946376292755E-2</c:v>
                </c:pt>
                <c:pt idx="145">
                  <c:v>-4.7829087689881256E-2</c:v>
                </c:pt>
                <c:pt idx="146">
                  <c:v>3.4925682853972795E-2</c:v>
                </c:pt>
                <c:pt idx="147">
                  <c:v>-5.0414859896433128E-2</c:v>
                </c:pt>
                <c:pt idx="148">
                  <c:v>7.5152722379344006E-2</c:v>
                </c:pt>
                <c:pt idx="149">
                  <c:v>-5.4871969326984349E-2</c:v>
                </c:pt>
                <c:pt idx="150">
                  <c:v>3.1061320633265943E-2</c:v>
                </c:pt>
                <c:pt idx="151">
                  <c:v>-3.4892742944822253E-2</c:v>
                </c:pt>
                <c:pt idx="152">
                  <c:v>5.5984767399547053E-2</c:v>
                </c:pt>
                <c:pt idx="153">
                  <c:v>-3.791485109887649E-2</c:v>
                </c:pt>
                <c:pt idx="154">
                  <c:v>3.1542503636618591E-2</c:v>
                </c:pt>
                <c:pt idx="155">
                  <c:v>-4.8653187249828811E-2</c:v>
                </c:pt>
                <c:pt idx="156">
                  <c:v>6.9440198714271872E-2</c:v>
                </c:pt>
                <c:pt idx="157">
                  <c:v>-4.2948583267295781E-2</c:v>
                </c:pt>
                <c:pt idx="158">
                  <c:v>2.033341772879016E-2</c:v>
                </c:pt>
                <c:pt idx="159">
                  <c:v>-3.8233094878883378E-2</c:v>
                </c:pt>
                <c:pt idx="160">
                  <c:v>6.8866120742121062E-2</c:v>
                </c:pt>
                <c:pt idx="161">
                  <c:v>-4.7238573478013635E-2</c:v>
                </c:pt>
                <c:pt idx="162">
                  <c:v>2.6619286275277432E-2</c:v>
                </c:pt>
                <c:pt idx="163">
                  <c:v>-3.2216315811995244E-2</c:v>
                </c:pt>
                <c:pt idx="164">
                  <c:v>5.637856509107575E-2</c:v>
                </c:pt>
                <c:pt idx="165">
                  <c:v>-4.7994724647178799E-2</c:v>
                </c:pt>
                <c:pt idx="166">
                  <c:v>2.8351235881425296E-2</c:v>
                </c:pt>
                <c:pt idx="167">
                  <c:v>-3.9545382624577741E-2</c:v>
                </c:pt>
                <c:pt idx="168">
                  <c:v>6.6237358721392248E-2</c:v>
                </c:pt>
                <c:pt idx="169">
                  <c:v>-3.8483495939220624E-2</c:v>
                </c:pt>
                <c:pt idx="170">
                  <c:v>2.0768240803963778E-2</c:v>
                </c:pt>
                <c:pt idx="171">
                  <c:v>-3.7327956842982957E-2</c:v>
                </c:pt>
                <c:pt idx="172">
                  <c:v>6.8992871486951657E-2</c:v>
                </c:pt>
                <c:pt idx="173">
                  <c:v>-4.879016416943216E-2</c:v>
                </c:pt>
                <c:pt idx="174">
                  <c:v>3.1322471129041851E-2</c:v>
                </c:pt>
                <c:pt idx="175">
                  <c:v>-4.1372806982542976E-2</c:v>
                </c:pt>
                <c:pt idx="176">
                  <c:v>5.9705926299362666E-2</c:v>
                </c:pt>
                <c:pt idx="177">
                  <c:v>-4.9655590445861542E-2</c:v>
                </c:pt>
                <c:pt idx="178">
                  <c:v>2.3361349913174401E-2</c:v>
                </c:pt>
                <c:pt idx="179">
                  <c:v>-3.7091542725075755E-2</c:v>
                </c:pt>
                <c:pt idx="180">
                  <c:v>7.1141100025240434E-2</c:v>
                </c:pt>
                <c:pt idx="181">
                  <c:v>-4.926237864943328E-2</c:v>
                </c:pt>
                <c:pt idx="182">
                  <c:v>3.0197676444442934E-2</c:v>
                </c:pt>
                <c:pt idx="183">
                  <c:v>-3.743752707213055E-2</c:v>
                </c:pt>
                <c:pt idx="184">
                  <c:v>7.1834727255707165E-2</c:v>
                </c:pt>
                <c:pt idx="185">
                  <c:v>-4.5835952272001101E-2</c:v>
                </c:pt>
                <c:pt idx="186">
                  <c:v>2.8785240812278623E-2</c:v>
                </c:pt>
                <c:pt idx="187">
                  <c:v>-4.3943801243119474E-2</c:v>
                </c:pt>
                <c:pt idx="188">
                  <c:v>6.5212148647045609E-2</c:v>
                </c:pt>
                <c:pt idx="189">
                  <c:v>-5.1825067864585961E-2</c:v>
                </c:pt>
                <c:pt idx="190">
                  <c:v>3.0556720460659825E-2</c:v>
                </c:pt>
                <c:pt idx="191">
                  <c:v>-3.2331343819028469E-2</c:v>
                </c:pt>
                <c:pt idx="192">
                  <c:v>5.6121760655663877E-2</c:v>
                </c:pt>
                <c:pt idx="193">
                  <c:v>-3.9388653366959403E-2</c:v>
                </c:pt>
                <c:pt idx="194">
                  <c:v>2.2453447609376731E-2</c:v>
                </c:pt>
                <c:pt idx="195">
                  <c:v>-3.0344764316620143E-2</c:v>
                </c:pt>
                <c:pt idx="196">
                  <c:v>5.9795778006034084E-2</c:v>
                </c:pt>
                <c:pt idx="197">
                  <c:v>-4.6677968565248307E-2</c:v>
                </c:pt>
                <c:pt idx="198">
                  <c:v>1.8080561415074747E-2</c:v>
                </c:pt>
                <c:pt idx="199">
                  <c:v>-3.2960485849260479E-2</c:v>
                </c:pt>
                <c:pt idx="200">
                  <c:v>6.6520682341562498E-2</c:v>
                </c:pt>
                <c:pt idx="201">
                  <c:v>-4.4714323289507973E-2</c:v>
                </c:pt>
                <c:pt idx="202">
                  <c:v>2.387155126991658E-2</c:v>
                </c:pt>
                <c:pt idx="203">
                  <c:v>-4.1278431162486307E-2</c:v>
                </c:pt>
                <c:pt idx="204">
                  <c:v>6.7880166034089306E-2</c:v>
                </c:pt>
                <c:pt idx="205">
                  <c:v>-5.5663609212212251E-2</c:v>
                </c:pt>
                <c:pt idx="206">
                  <c:v>2.5686343709327986E-2</c:v>
                </c:pt>
                <c:pt idx="207">
                  <c:v>-3.0903746849015867E-2</c:v>
                </c:pt>
                <c:pt idx="208">
                  <c:v>6.9864331237091903E-2</c:v>
                </c:pt>
                <c:pt idx="209">
                  <c:v>-3.7271394797231849E-2</c:v>
                </c:pt>
                <c:pt idx="210">
                  <c:v>2.1703689983860741E-2</c:v>
                </c:pt>
                <c:pt idx="211">
                  <c:v>-4.6480694320768734E-2</c:v>
                </c:pt>
                <c:pt idx="212">
                  <c:v>7.4169759666484758E-2</c:v>
                </c:pt>
                <c:pt idx="213">
                  <c:v>-4.7706414289139687E-2</c:v>
                </c:pt>
                <c:pt idx="214">
                  <c:v>1.3389321365010254E-2</c:v>
                </c:pt>
                <c:pt idx="215">
                  <c:v>-3.2097349974877787E-2</c:v>
                </c:pt>
                <c:pt idx="216">
                  <c:v>6.5610907299324062E-2</c:v>
                </c:pt>
                <c:pt idx="217">
                  <c:v>-3.5177451219141176E-2</c:v>
                </c:pt>
                <c:pt idx="218">
                  <c:v>1.8969640992287928E-2</c:v>
                </c:pt>
                <c:pt idx="219">
                  <c:v>-3.5762646874909265E-2</c:v>
                </c:pt>
                <c:pt idx="220">
                  <c:v>5.3576883150036281E-2</c:v>
                </c:pt>
                <c:pt idx="221">
                  <c:v>-3.0972320852638013E-2</c:v>
                </c:pt>
                <c:pt idx="222">
                  <c:v>2.1294825970572973E-2</c:v>
                </c:pt>
                <c:pt idx="223">
                  <c:v>-3.967462490766227E-2</c:v>
                </c:pt>
                <c:pt idx="224">
                  <c:v>5.8141629032576247E-2</c:v>
                </c:pt>
                <c:pt idx="225">
                  <c:v>-3.728146503715557E-2</c:v>
                </c:pt>
                <c:pt idx="226">
                  <c:v>2.2050709691449732E-2</c:v>
                </c:pt>
                <c:pt idx="227">
                  <c:v>-3.870388388924173E-2</c:v>
                </c:pt>
                <c:pt idx="228">
                  <c:v>5.9488005351503226E-2</c:v>
                </c:pt>
                <c:pt idx="229">
                  <c:v>-3.461110059609851E-2</c:v>
                </c:pt>
                <c:pt idx="230">
                  <c:v>2.5072077549339156E-2</c:v>
                </c:pt>
                <c:pt idx="231">
                  <c:v>-3.9923835685365283E-2</c:v>
                </c:pt>
                <c:pt idx="232">
                  <c:v>5.8127741617847839E-2</c:v>
                </c:pt>
                <c:pt idx="233">
                  <c:v>-3.4307313499061465E-2</c:v>
                </c:pt>
                <c:pt idx="234">
                  <c:v>2.4058899007693313E-2</c:v>
                </c:pt>
                <c:pt idx="235">
                  <c:v>-4.5388665814027007E-2</c:v>
                </c:pt>
                <c:pt idx="236">
                  <c:v>6.1891987328505316E-2</c:v>
                </c:pt>
                <c:pt idx="237">
                  <c:v>-2.8460418935599918E-2</c:v>
                </c:pt>
                <c:pt idx="238">
                  <c:v>2.0635652877370347E-2</c:v>
                </c:pt>
                <c:pt idx="239">
                  <c:v>-3.8435475578579847E-2</c:v>
                </c:pt>
                <c:pt idx="240">
                  <c:v>5.8653893691772652E-2</c:v>
                </c:pt>
                <c:pt idx="241">
                  <c:v>-3.6054061774531299E-2</c:v>
                </c:pt>
                <c:pt idx="242">
                  <c:v>1.1111225425070259E-2</c:v>
                </c:pt>
                <c:pt idx="243">
                  <c:v>-3.2895063824981641E-2</c:v>
                </c:pt>
                <c:pt idx="244">
                  <c:v>6.1679625990441522E-2</c:v>
                </c:pt>
                <c:pt idx="245">
                  <c:v>-4.3894193557225236E-2</c:v>
                </c:pt>
                <c:pt idx="246">
                  <c:v>2.6879088551241992E-2</c:v>
                </c:pt>
                <c:pt idx="247">
                  <c:v>-3.2503852276008161E-2</c:v>
                </c:pt>
                <c:pt idx="248">
                  <c:v>5.4872698559092825E-2</c:v>
                </c:pt>
                <c:pt idx="249">
                  <c:v>-4.3654632197815957E-2</c:v>
                </c:pt>
                <c:pt idx="250">
                  <c:v>2.9055832776663237E-2</c:v>
                </c:pt>
                <c:pt idx="251">
                  <c:v>-2.3493641241389085E-2</c:v>
                </c:pt>
                <c:pt idx="252">
                  <c:v>4.3417671961294424E-2</c:v>
                </c:pt>
                <c:pt idx="253">
                  <c:v>-3.0036913483609595E-2</c:v>
                </c:pt>
                <c:pt idx="254">
                  <c:v>2.4711682184856976E-2</c:v>
                </c:pt>
                <c:pt idx="255">
                  <c:v>-3.9678483818176069E-2</c:v>
                </c:pt>
                <c:pt idx="256">
                  <c:v>5.4067221270275745E-2</c:v>
                </c:pt>
                <c:pt idx="257">
                  <c:v>-3.7537919319065693E-2</c:v>
                </c:pt>
                <c:pt idx="258">
                  <c:v>2.2386114298463156E-2</c:v>
                </c:pt>
                <c:pt idx="259">
                  <c:v>-3.1797948480809524E-2</c:v>
                </c:pt>
                <c:pt idx="260">
                  <c:v>6.1875403718087973E-2</c:v>
                </c:pt>
                <c:pt idx="261">
                  <c:v>-4.1593897298837668E-2</c:v>
                </c:pt>
                <c:pt idx="262">
                  <c:v>2.2146762363315808E-2</c:v>
                </c:pt>
                <c:pt idx="263">
                  <c:v>-2.9898739167633082E-2</c:v>
                </c:pt>
                <c:pt idx="264">
                  <c:v>5.1565630841467147E-2</c:v>
                </c:pt>
                <c:pt idx="265">
                  <c:v>-3.2297211975590656E-2</c:v>
                </c:pt>
                <c:pt idx="266">
                  <c:v>1.5903402199914929E-2</c:v>
                </c:pt>
                <c:pt idx="267">
                  <c:v>-3.9852016816269042E-2</c:v>
                </c:pt>
                <c:pt idx="268">
                  <c:v>6.0670612572300442E-2</c:v>
                </c:pt>
                <c:pt idx="269">
                  <c:v>-3.2912469539278177E-2</c:v>
                </c:pt>
                <c:pt idx="270">
                  <c:v>2.1069251911372433E-2</c:v>
                </c:pt>
                <c:pt idx="271">
                  <c:v>-2.9469454036639142E-2</c:v>
                </c:pt>
                <c:pt idx="272">
                  <c:v>4.9374276335572453E-2</c:v>
                </c:pt>
                <c:pt idx="273">
                  <c:v>-2.9631797606371357E-2</c:v>
                </c:pt>
                <c:pt idx="274">
                  <c:v>1.936024728454111E-2</c:v>
                </c:pt>
                <c:pt idx="275">
                  <c:v>-3.2986498996306679E-2</c:v>
                </c:pt>
                <c:pt idx="276">
                  <c:v>5.4147449117404989E-2</c:v>
                </c:pt>
                <c:pt idx="277">
                  <c:v>-3.4524177933265676E-2</c:v>
                </c:pt>
                <c:pt idx="278">
                  <c:v>2.0710799442562156E-2</c:v>
                </c:pt>
                <c:pt idx="279">
                  <c:v>-3.3497735608410295E-2</c:v>
                </c:pt>
                <c:pt idx="280">
                  <c:v>5.8083211081024544E-2</c:v>
                </c:pt>
                <c:pt idx="281">
                  <c:v>-3.8592339192986103E-2</c:v>
                </c:pt>
                <c:pt idx="282">
                  <c:v>1.9118229357607319E-2</c:v>
                </c:pt>
                <c:pt idx="283">
                  <c:v>-3.5585667347648453E-2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6-4AF1-9F25-5204651E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035232"/>
        <c:axId val="1289039808"/>
      </c:lineChart>
      <c:dateAx>
        <c:axId val="12890352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39808"/>
        <c:crosses val="autoZero"/>
        <c:auto val="1"/>
        <c:lblOffset val="100"/>
        <c:baseTimeUnit val="months"/>
        <c:majorUnit val="40"/>
        <c:majorTimeUnit val="months"/>
      </c:dateAx>
      <c:valAx>
        <c:axId val="12890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3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LOG(Expenditure)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'dat80'!$G$1</c:f>
              <c:strCache>
                <c:ptCount val="1"/>
                <c:pt idx="0">
                  <c:v>LOG(Expenditure 80)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'dat80'!$G$2:$G$285</c:f>
              <c:numCache>
                <c:formatCode>General</c:formatCode>
                <c:ptCount val="284"/>
                <c:pt idx="0">
                  <c:v>6.7381524945959574</c:v>
                </c:pt>
                <c:pt idx="1">
                  <c:v>6.6833609457662746</c:v>
                </c:pt>
                <c:pt idx="2">
                  <c:v>6.7141705299094721</c:v>
                </c:pt>
                <c:pt idx="3">
                  <c:v>6.6644090203504076</c:v>
                </c:pt>
                <c:pt idx="4">
                  <c:v>6.752270376141742</c:v>
                </c:pt>
                <c:pt idx="5">
                  <c:v>6.6970342476664841</c:v>
                </c:pt>
                <c:pt idx="6">
                  <c:v>6.7286286130847017</c:v>
                </c:pt>
                <c:pt idx="7">
                  <c:v>6.6682282484174031</c:v>
                </c:pt>
                <c:pt idx="8">
                  <c:v>6.7638849085624351</c:v>
                </c:pt>
                <c:pt idx="9">
                  <c:v>6.7117403950561796</c:v>
                </c:pt>
                <c:pt idx="10">
                  <c:v>6.7357800142423265</c:v>
                </c:pt>
                <c:pt idx="11">
                  <c:v>6.6833609457662746</c:v>
                </c:pt>
                <c:pt idx="12">
                  <c:v>6.7673431252653922</c:v>
                </c:pt>
                <c:pt idx="13">
                  <c:v>6.7105231094524278</c:v>
                </c:pt>
                <c:pt idx="14">
                  <c:v>6.7417006946520548</c:v>
                </c:pt>
                <c:pt idx="15">
                  <c:v>6.6808546787902152</c:v>
                </c:pt>
                <c:pt idx="16">
                  <c:v>6.7696419768525029</c:v>
                </c:pt>
                <c:pt idx="17">
                  <c:v>6.7178046950236912</c:v>
                </c:pt>
                <c:pt idx="18">
                  <c:v>6.7417006946520548</c:v>
                </c:pt>
                <c:pt idx="19">
                  <c:v>6.6933236682699491</c:v>
                </c:pt>
                <c:pt idx="20">
                  <c:v>6.7810576259361799</c:v>
                </c:pt>
                <c:pt idx="21">
                  <c:v>6.7334018918373593</c:v>
                </c:pt>
                <c:pt idx="22">
                  <c:v>6.7557689219842549</c:v>
                </c:pt>
                <c:pt idx="23">
                  <c:v>6.7093043402582984</c:v>
                </c:pt>
                <c:pt idx="24">
                  <c:v>6.7957057751735137</c:v>
                </c:pt>
                <c:pt idx="25">
                  <c:v>6.739336627357174</c:v>
                </c:pt>
                <c:pt idx="26">
                  <c:v>6.7546040994879624</c:v>
                </c:pt>
                <c:pt idx="27">
                  <c:v>6.7117403950561796</c:v>
                </c:pt>
                <c:pt idx="28">
                  <c:v>6.7945865808764987</c:v>
                </c:pt>
                <c:pt idx="29">
                  <c:v>6.739336627357174</c:v>
                </c:pt>
                <c:pt idx="30">
                  <c:v>6.7661917146603505</c:v>
                </c:pt>
                <c:pt idx="31">
                  <c:v>6.7226297948554485</c:v>
                </c:pt>
                <c:pt idx="32">
                  <c:v>6.8001700683021999</c:v>
                </c:pt>
                <c:pt idx="33">
                  <c:v>6.7475865268293154</c:v>
                </c:pt>
                <c:pt idx="34">
                  <c:v>6.7867169506050811</c:v>
                </c:pt>
                <c:pt idx="35">
                  <c:v>6.7190131543852596</c:v>
                </c:pt>
                <c:pt idx="36">
                  <c:v>6.8101424501151362</c:v>
                </c:pt>
                <c:pt idx="37">
                  <c:v>6.7440591863113477</c:v>
                </c:pt>
                <c:pt idx="38">
                  <c:v>6.7912214627261855</c:v>
                </c:pt>
                <c:pt idx="39">
                  <c:v>6.7405193596062229</c:v>
                </c:pt>
                <c:pt idx="40">
                  <c:v>6.8145428972599582</c:v>
                </c:pt>
                <c:pt idx="41">
                  <c:v>6.7475865268293154</c:v>
                </c:pt>
                <c:pt idx="42">
                  <c:v>6.7855876450079293</c:v>
                </c:pt>
                <c:pt idx="43">
                  <c:v>6.7428806357919031</c:v>
                </c:pt>
                <c:pt idx="44">
                  <c:v>6.8221973906204907</c:v>
                </c:pt>
                <c:pt idx="45">
                  <c:v>6.7650389767805414</c:v>
                </c:pt>
                <c:pt idx="46">
                  <c:v>6.7878449823095792</c:v>
                </c:pt>
                <c:pt idx="47">
                  <c:v>6.7475865268293154</c:v>
                </c:pt>
                <c:pt idx="48">
                  <c:v>6.828712071641684</c:v>
                </c:pt>
                <c:pt idx="49">
                  <c:v>6.7799219074722519</c:v>
                </c:pt>
                <c:pt idx="50">
                  <c:v>6.8079349436999257</c:v>
                </c:pt>
                <c:pt idx="51">
                  <c:v>6.7661917146603505</c:v>
                </c:pt>
                <c:pt idx="52">
                  <c:v>6.837332814685591</c:v>
                </c:pt>
                <c:pt idx="53">
                  <c:v>6.7889717429921701</c:v>
                </c:pt>
                <c:pt idx="54">
                  <c:v>6.8134445995108956</c:v>
                </c:pt>
                <c:pt idx="55">
                  <c:v>6.7661917146603505</c:v>
                </c:pt>
                <c:pt idx="56">
                  <c:v>6.8532990931860782</c:v>
                </c:pt>
                <c:pt idx="57">
                  <c:v>6.7867169506050811</c:v>
                </c:pt>
                <c:pt idx="58">
                  <c:v>6.8079349436999257</c:v>
                </c:pt>
                <c:pt idx="59">
                  <c:v>6.7661917146603505</c:v>
                </c:pt>
                <c:pt idx="60">
                  <c:v>6.8490662826334576</c:v>
                </c:pt>
                <c:pt idx="61">
                  <c:v>6.7968237182748554</c:v>
                </c:pt>
                <c:pt idx="62">
                  <c:v>6.8276292345028518</c:v>
                </c:pt>
                <c:pt idx="63">
                  <c:v>6.7855876450079293</c:v>
                </c:pt>
                <c:pt idx="64">
                  <c:v>6.8648477779708603</c:v>
                </c:pt>
                <c:pt idx="65">
                  <c:v>6.8057225534169854</c:v>
                </c:pt>
                <c:pt idx="66">
                  <c:v>6.8341087388138382</c:v>
                </c:pt>
                <c:pt idx="67">
                  <c:v>6.7934661325800096</c:v>
                </c:pt>
                <c:pt idx="68">
                  <c:v>6.8741984954532942</c:v>
                </c:pt>
                <c:pt idx="69">
                  <c:v>6.8112443786012937</c:v>
                </c:pt>
                <c:pt idx="70">
                  <c:v>6.8405465292886873</c:v>
                </c:pt>
                <c:pt idx="71">
                  <c:v>6.7968237182748554</c:v>
                </c:pt>
                <c:pt idx="72">
                  <c:v>6.8772960714974287</c:v>
                </c:pt>
                <c:pt idx="73">
                  <c:v>6.8101424501151362</c:v>
                </c:pt>
                <c:pt idx="74">
                  <c:v>6.8458798752640497</c:v>
                </c:pt>
                <c:pt idx="75">
                  <c:v>6.8079349436999257</c:v>
                </c:pt>
                <c:pt idx="76">
                  <c:v>6.879355804460439</c:v>
                </c:pt>
                <c:pt idx="77">
                  <c:v>6.8394764382288429</c:v>
                </c:pt>
                <c:pt idx="78">
                  <c:v>6.8679744089702925</c:v>
                </c:pt>
                <c:pt idx="79">
                  <c:v>6.8178305714541496</c:v>
                </c:pt>
                <c:pt idx="80">
                  <c:v>6.892641641172089</c:v>
                </c:pt>
                <c:pt idx="81">
                  <c:v>6.8362592772770672</c:v>
                </c:pt>
                <c:pt idx="82">
                  <c:v>6.8606636714482869</c:v>
                </c:pt>
                <c:pt idx="83">
                  <c:v>6.8145428972599582</c:v>
                </c:pt>
                <c:pt idx="84">
                  <c:v>6.8916258970522533</c:v>
                </c:pt>
                <c:pt idx="85">
                  <c:v>6.842683282238422</c:v>
                </c:pt>
                <c:pt idx="86">
                  <c:v>6.8679744089702925</c:v>
                </c:pt>
                <c:pt idx="87">
                  <c:v>6.8297937375124249</c:v>
                </c:pt>
                <c:pt idx="88">
                  <c:v>6.9027427371585928</c:v>
                </c:pt>
                <c:pt idx="89">
                  <c:v>6.8469431395853793</c:v>
                </c:pt>
                <c:pt idx="90">
                  <c:v>6.8834625864130921</c:v>
                </c:pt>
                <c:pt idx="91">
                  <c:v>6.8341087388138382</c:v>
                </c:pt>
                <c:pt idx="92">
                  <c:v>6.9057532763114642</c:v>
                </c:pt>
                <c:pt idx="93">
                  <c:v>6.8638033914529544</c:v>
                </c:pt>
                <c:pt idx="94">
                  <c:v>6.8855096700348177</c:v>
                </c:pt>
                <c:pt idx="95">
                  <c:v>6.8308742346461795</c:v>
                </c:pt>
                <c:pt idx="96">
                  <c:v>6.9137373506596846</c:v>
                </c:pt>
                <c:pt idx="97">
                  <c:v>6.8617113404807304</c:v>
                </c:pt>
                <c:pt idx="98">
                  <c:v>6.8956826977478682</c:v>
                </c:pt>
                <c:pt idx="99">
                  <c:v>6.8394764382288429</c:v>
                </c:pt>
                <c:pt idx="100">
                  <c:v>6.9216581841511289</c:v>
                </c:pt>
                <c:pt idx="101">
                  <c:v>6.8731638342125176</c:v>
                </c:pt>
                <c:pt idx="102">
                  <c:v>6.8987145343299883</c:v>
                </c:pt>
                <c:pt idx="103">
                  <c:v>6.8469431395853793</c:v>
                </c:pt>
                <c:pt idx="104">
                  <c:v>6.9167150203536085</c:v>
                </c:pt>
                <c:pt idx="105">
                  <c:v>6.8731638342125176</c:v>
                </c:pt>
                <c:pt idx="106">
                  <c:v>6.9117473002516743</c:v>
                </c:pt>
                <c:pt idx="107">
                  <c:v>6.8690144506657065</c:v>
                </c:pt>
                <c:pt idx="108">
                  <c:v>6.9382844840169602</c:v>
                </c:pt>
                <c:pt idx="109">
                  <c:v>6.879355804460439</c:v>
                </c:pt>
                <c:pt idx="110">
                  <c:v>6.9167150203536085</c:v>
                </c:pt>
                <c:pt idx="111">
                  <c:v>6.8638033914529544</c:v>
                </c:pt>
                <c:pt idx="112">
                  <c:v>6.926577033222725</c:v>
                </c:pt>
                <c:pt idx="113">
                  <c:v>6.8844866520427823</c:v>
                </c:pt>
                <c:pt idx="114">
                  <c:v>6.9177056098353047</c:v>
                </c:pt>
                <c:pt idx="115">
                  <c:v>6.8772960714974287</c:v>
                </c:pt>
                <c:pt idx="116">
                  <c:v>6.9546388648809874</c:v>
                </c:pt>
                <c:pt idx="117">
                  <c:v>6.9037472575845982</c:v>
                </c:pt>
                <c:pt idx="118">
                  <c:v>6.93537044601511</c:v>
                </c:pt>
                <c:pt idx="119">
                  <c:v>6.8814113036425351</c:v>
                </c:pt>
                <c:pt idx="120">
                  <c:v>6.9527286446248686</c:v>
                </c:pt>
                <c:pt idx="121">
                  <c:v>6.9067547786485539</c:v>
                </c:pt>
                <c:pt idx="122">
                  <c:v>6.9402224691196386</c:v>
                </c:pt>
                <c:pt idx="123">
                  <c:v>6.8977049431286357</c:v>
                </c:pt>
                <c:pt idx="124">
                  <c:v>6.9631899858702377</c:v>
                </c:pt>
                <c:pt idx="125">
                  <c:v>6.9117473002516743</c:v>
                </c:pt>
                <c:pt idx="126">
                  <c:v>6.9373140812236818</c:v>
                </c:pt>
                <c:pt idx="127">
                  <c:v>6.9037472575845982</c:v>
                </c:pt>
                <c:pt idx="128">
                  <c:v>6.9688503783419478</c:v>
                </c:pt>
                <c:pt idx="129">
                  <c:v>6.9304947659516261</c:v>
                </c:pt>
                <c:pt idx="130">
                  <c:v>6.9555926083962971</c:v>
                </c:pt>
                <c:pt idx="131">
                  <c:v>6.9067547786485539</c:v>
                </c:pt>
                <c:pt idx="132">
                  <c:v>6.9754139274559517</c:v>
                </c:pt>
                <c:pt idx="133">
                  <c:v>6.9285378181646653</c:v>
                </c:pt>
                <c:pt idx="134">
                  <c:v>6.9622434642662068</c:v>
                </c:pt>
                <c:pt idx="135">
                  <c:v>6.9236286281384274</c:v>
                </c:pt>
                <c:pt idx="136">
                  <c:v>6.9884131819995918</c:v>
                </c:pt>
                <c:pt idx="137">
                  <c:v>6.93537044601511</c:v>
                </c:pt>
                <c:pt idx="138">
                  <c:v>6.953684210870537</c:v>
                </c:pt>
                <c:pt idx="139">
                  <c:v>6.9236286281384274</c:v>
                </c:pt>
                <c:pt idx="140">
                  <c:v>6.9957661563048505</c:v>
                </c:pt>
                <c:pt idx="141">
                  <c:v>6.9431224228194282</c:v>
                </c:pt>
                <c:pt idx="142">
                  <c:v>6.9641356124182447</c:v>
                </c:pt>
                <c:pt idx="143">
                  <c:v>6.9343972099285578</c:v>
                </c:pt>
                <c:pt idx="144">
                  <c:v>6.9957661563048505</c:v>
                </c:pt>
                <c:pt idx="145">
                  <c:v>6.9479370686149693</c:v>
                </c:pt>
                <c:pt idx="146">
                  <c:v>6.9828627514689421</c:v>
                </c:pt>
                <c:pt idx="147">
                  <c:v>6.932447891572509</c:v>
                </c:pt>
                <c:pt idx="148">
                  <c:v>7.007600613951853</c:v>
                </c:pt>
                <c:pt idx="149">
                  <c:v>6.9527286446248686</c:v>
                </c:pt>
                <c:pt idx="150">
                  <c:v>6.9837899652581346</c:v>
                </c:pt>
                <c:pt idx="151">
                  <c:v>6.9488972223133123</c:v>
                </c:pt>
                <c:pt idx="152">
                  <c:v>7.0048819897128594</c:v>
                </c:pt>
                <c:pt idx="153">
                  <c:v>6.9669671386139829</c:v>
                </c:pt>
                <c:pt idx="154">
                  <c:v>6.9985096422506015</c:v>
                </c:pt>
                <c:pt idx="155">
                  <c:v>6.9498564550007726</c:v>
                </c:pt>
                <c:pt idx="156">
                  <c:v>7.0192966537150445</c:v>
                </c:pt>
                <c:pt idx="157">
                  <c:v>6.9763480704477487</c:v>
                </c:pt>
                <c:pt idx="158">
                  <c:v>6.9966814881765389</c:v>
                </c:pt>
                <c:pt idx="159">
                  <c:v>6.9584483932976555</c:v>
                </c:pt>
                <c:pt idx="160">
                  <c:v>7.0273145140397766</c:v>
                </c:pt>
                <c:pt idx="161">
                  <c:v>6.9800759405617629</c:v>
                </c:pt>
                <c:pt idx="162">
                  <c:v>7.0066952268370404</c:v>
                </c:pt>
                <c:pt idx="163">
                  <c:v>6.9744789110250451</c:v>
                </c:pt>
                <c:pt idx="164">
                  <c:v>7.0308574761161209</c:v>
                </c:pt>
                <c:pt idx="165">
                  <c:v>6.9828627514689421</c:v>
                </c:pt>
                <c:pt idx="166">
                  <c:v>7.0112139873503674</c:v>
                </c:pt>
                <c:pt idx="167">
                  <c:v>6.9716686047257896</c:v>
                </c:pt>
                <c:pt idx="168">
                  <c:v>7.0379059634471819</c:v>
                </c:pt>
                <c:pt idx="169">
                  <c:v>6.9994224675079613</c:v>
                </c:pt>
                <c:pt idx="170">
                  <c:v>7.020190708311925</c:v>
                </c:pt>
                <c:pt idx="171">
                  <c:v>6.9828627514689421</c:v>
                </c:pt>
                <c:pt idx="172">
                  <c:v>7.0518556229558937</c:v>
                </c:pt>
                <c:pt idx="173">
                  <c:v>7.0030654587864616</c:v>
                </c:pt>
                <c:pt idx="174">
                  <c:v>7.0343879299155034</c:v>
                </c:pt>
                <c:pt idx="175">
                  <c:v>6.9930151229329605</c:v>
                </c:pt>
                <c:pt idx="176">
                  <c:v>7.0527210492323231</c:v>
                </c:pt>
                <c:pt idx="177">
                  <c:v>7.0030654587864616</c:v>
                </c:pt>
                <c:pt idx="178">
                  <c:v>7.026426808699636</c:v>
                </c:pt>
                <c:pt idx="179">
                  <c:v>6.9893352659745602</c:v>
                </c:pt>
                <c:pt idx="180">
                  <c:v>7.0604763659998007</c:v>
                </c:pt>
                <c:pt idx="181">
                  <c:v>7.0112139873503674</c:v>
                </c:pt>
                <c:pt idx="182">
                  <c:v>7.0414116637948103</c:v>
                </c:pt>
                <c:pt idx="183">
                  <c:v>7.0039741367226798</c:v>
                </c:pt>
                <c:pt idx="184">
                  <c:v>7.0758088639783869</c:v>
                </c:pt>
                <c:pt idx="185">
                  <c:v>7.0299729117063858</c:v>
                </c:pt>
                <c:pt idx="186">
                  <c:v>7.0587581525186645</c:v>
                </c:pt>
                <c:pt idx="187">
                  <c:v>7.014814351275545</c:v>
                </c:pt>
                <c:pt idx="188">
                  <c:v>7.0800264999225906</c:v>
                </c:pt>
                <c:pt idx="189">
                  <c:v>7.0282014320580046</c:v>
                </c:pt>
                <c:pt idx="190">
                  <c:v>7.0587581525186645</c:v>
                </c:pt>
                <c:pt idx="191">
                  <c:v>7.026426808699636</c:v>
                </c:pt>
                <c:pt idx="192">
                  <c:v>7.0825485693552999</c:v>
                </c:pt>
                <c:pt idx="193">
                  <c:v>7.0431599159883405</c:v>
                </c:pt>
                <c:pt idx="194">
                  <c:v>7.0656133635977172</c:v>
                </c:pt>
                <c:pt idx="195">
                  <c:v>7.035268599281097</c:v>
                </c:pt>
                <c:pt idx="196">
                  <c:v>7.0950643772871311</c:v>
                </c:pt>
                <c:pt idx="197">
                  <c:v>7.0483864087218828</c:v>
                </c:pt>
                <c:pt idx="198">
                  <c:v>7.0664669701369576</c:v>
                </c:pt>
                <c:pt idx="199">
                  <c:v>7.0335064842876971</c:v>
                </c:pt>
                <c:pt idx="200">
                  <c:v>7.1000271666292596</c:v>
                </c:pt>
                <c:pt idx="201">
                  <c:v>7.0553128433397516</c:v>
                </c:pt>
                <c:pt idx="202">
                  <c:v>7.0791843946096682</c:v>
                </c:pt>
                <c:pt idx="203">
                  <c:v>7.0379059634471819</c:v>
                </c:pt>
                <c:pt idx="204">
                  <c:v>7.1057861294812712</c:v>
                </c:pt>
                <c:pt idx="205">
                  <c:v>7.0501225202690589</c:v>
                </c:pt>
                <c:pt idx="206">
                  <c:v>7.0758088639783869</c:v>
                </c:pt>
                <c:pt idx="207">
                  <c:v>7.0449051171293711</c:v>
                </c:pt>
                <c:pt idx="208">
                  <c:v>7.114769448366463</c:v>
                </c:pt>
                <c:pt idx="209">
                  <c:v>7.0774980535692311</c:v>
                </c:pt>
                <c:pt idx="210">
                  <c:v>7.0992017435530919</c:v>
                </c:pt>
                <c:pt idx="211">
                  <c:v>7.0527210492323231</c:v>
                </c:pt>
                <c:pt idx="212">
                  <c:v>7.1268908088988079</c:v>
                </c:pt>
                <c:pt idx="213">
                  <c:v>7.0791843946096682</c:v>
                </c:pt>
                <c:pt idx="214">
                  <c:v>7.0925737159746784</c:v>
                </c:pt>
                <c:pt idx="215">
                  <c:v>7.0604763659998007</c:v>
                </c:pt>
                <c:pt idx="216">
                  <c:v>7.1260872732991247</c:v>
                </c:pt>
                <c:pt idx="217">
                  <c:v>7.0909098220799835</c:v>
                </c:pt>
                <c:pt idx="218">
                  <c:v>7.1098794630722715</c:v>
                </c:pt>
                <c:pt idx="219">
                  <c:v>7.0741168161973622</c:v>
                </c:pt>
                <c:pt idx="220">
                  <c:v>7.1276936993473985</c:v>
                </c:pt>
                <c:pt idx="221">
                  <c:v>7.0967213784947605</c:v>
                </c:pt>
                <c:pt idx="222">
                  <c:v>7.1180162044653335</c:v>
                </c:pt>
                <c:pt idx="223">
                  <c:v>7.0783415795576712</c:v>
                </c:pt>
                <c:pt idx="224">
                  <c:v>7.1364832085902474</c:v>
                </c:pt>
                <c:pt idx="225">
                  <c:v>7.0992017435530919</c:v>
                </c:pt>
                <c:pt idx="226">
                  <c:v>7.1212524532445416</c:v>
                </c:pt>
                <c:pt idx="227">
                  <c:v>7.0825485693552999</c:v>
                </c:pt>
                <c:pt idx="228">
                  <c:v>7.1420365747068031</c:v>
                </c:pt>
                <c:pt idx="229">
                  <c:v>7.1074254741107046</c:v>
                </c:pt>
                <c:pt idx="230">
                  <c:v>7.1324975516600437</c:v>
                </c:pt>
                <c:pt idx="231">
                  <c:v>7.0925737159746784</c:v>
                </c:pt>
                <c:pt idx="232">
                  <c:v>7.1507014575925263</c:v>
                </c:pt>
                <c:pt idx="233">
                  <c:v>7.1163941440934648</c:v>
                </c:pt>
                <c:pt idx="234">
                  <c:v>7.1404530431011581</c:v>
                </c:pt>
                <c:pt idx="235">
                  <c:v>7.0950643772871311</c:v>
                </c:pt>
                <c:pt idx="236">
                  <c:v>7.1569563646156364</c:v>
                </c:pt>
                <c:pt idx="237">
                  <c:v>7.1284959456800365</c:v>
                </c:pt>
                <c:pt idx="238">
                  <c:v>7.1491315985574069</c:v>
                </c:pt>
                <c:pt idx="239">
                  <c:v>7.110696122978827</c:v>
                </c:pt>
                <c:pt idx="240">
                  <c:v>7.1693500166705997</c:v>
                </c:pt>
                <c:pt idx="241">
                  <c:v>7.1332959548960684</c:v>
                </c:pt>
                <c:pt idx="242">
                  <c:v>7.1444071803211386</c:v>
                </c:pt>
                <c:pt idx="243">
                  <c:v>7.111512116496157</c:v>
                </c:pt>
                <c:pt idx="244">
                  <c:v>7.1731917424865985</c:v>
                </c:pt>
                <c:pt idx="245">
                  <c:v>7.1292975489293733</c:v>
                </c:pt>
                <c:pt idx="246">
                  <c:v>7.1561766374806153</c:v>
                </c:pt>
                <c:pt idx="247">
                  <c:v>7.1236727852046071</c:v>
                </c:pt>
                <c:pt idx="248">
                  <c:v>7.1785454837636999</c:v>
                </c:pt>
                <c:pt idx="249">
                  <c:v>7.134890851565884</c:v>
                </c:pt>
                <c:pt idx="250">
                  <c:v>7.1639466843425472</c:v>
                </c:pt>
                <c:pt idx="251">
                  <c:v>7.1404530431011581</c:v>
                </c:pt>
                <c:pt idx="252">
                  <c:v>7.1838707150624526</c:v>
                </c:pt>
                <c:pt idx="253">
                  <c:v>7.153833801578843</c:v>
                </c:pt>
                <c:pt idx="254">
                  <c:v>7.1785454837636999</c:v>
                </c:pt>
                <c:pt idx="255">
                  <c:v>7.1388669999455239</c:v>
                </c:pt>
                <c:pt idx="256">
                  <c:v>7.1929342212157996</c:v>
                </c:pt>
                <c:pt idx="257">
                  <c:v>7.1553963018967339</c:v>
                </c:pt>
                <c:pt idx="258">
                  <c:v>7.1777824161951971</c:v>
                </c:pt>
                <c:pt idx="259">
                  <c:v>7.1459844677143876</c:v>
                </c:pt>
                <c:pt idx="260">
                  <c:v>7.2078598714324755</c:v>
                </c:pt>
                <c:pt idx="261">
                  <c:v>7.1662659741336379</c:v>
                </c:pt>
                <c:pt idx="262">
                  <c:v>7.1884127364969537</c:v>
                </c:pt>
                <c:pt idx="263">
                  <c:v>7.1585139973293206</c:v>
                </c:pt>
                <c:pt idx="264">
                  <c:v>7.2100796281707877</c:v>
                </c:pt>
                <c:pt idx="265">
                  <c:v>7.1777824161951971</c:v>
                </c:pt>
                <c:pt idx="266">
                  <c:v>7.193685818395112</c:v>
                </c:pt>
                <c:pt idx="267">
                  <c:v>7.153833801578843</c:v>
                </c:pt>
                <c:pt idx="268">
                  <c:v>7.2145044141511434</c:v>
                </c:pt>
                <c:pt idx="269">
                  <c:v>7.1815919446118652</c:v>
                </c:pt>
                <c:pt idx="270">
                  <c:v>7.2026611965232377</c:v>
                </c:pt>
                <c:pt idx="271">
                  <c:v>7.1731917424865985</c:v>
                </c:pt>
                <c:pt idx="272">
                  <c:v>7.222566018822171</c:v>
                </c:pt>
                <c:pt idx="273">
                  <c:v>7.1929342212157996</c:v>
                </c:pt>
                <c:pt idx="274">
                  <c:v>7.2122944685003407</c:v>
                </c:pt>
                <c:pt idx="275">
                  <c:v>7.179307969504034</c:v>
                </c:pt>
                <c:pt idx="276">
                  <c:v>7.233455418621439</c:v>
                </c:pt>
                <c:pt idx="277">
                  <c:v>7.1989312406881734</c:v>
                </c:pt>
                <c:pt idx="278">
                  <c:v>7.2196420401307355</c:v>
                </c:pt>
                <c:pt idx="279">
                  <c:v>7.1861443045223252</c:v>
                </c:pt>
                <c:pt idx="280">
                  <c:v>7.2442275156033498</c:v>
                </c:pt>
                <c:pt idx="281">
                  <c:v>7.2056351764103637</c:v>
                </c:pt>
                <c:pt idx="282">
                  <c:v>7.224753405767971</c:v>
                </c:pt>
                <c:pt idx="283">
                  <c:v>7.1891677384203225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D-4B7A-88DF-7569C1EF3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4504704"/>
        <c:axId val="614495968"/>
      </c:lineChart>
      <c:dateAx>
        <c:axId val="61450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495968"/>
        <c:crosses val="autoZero"/>
        <c:auto val="1"/>
        <c:lblOffset val="100"/>
        <c:baseTimeUnit val="months"/>
        <c:majorUnit val="40"/>
        <c:majorTimeUnit val="months"/>
      </c:dateAx>
      <c:valAx>
        <c:axId val="614495968"/>
        <c:scaling>
          <c:orientation val="minMax"/>
          <c:min val="6.6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0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'dat80'!$I$1</c:f>
              <c:strCache>
                <c:ptCount val="1"/>
                <c:pt idx="0">
                  <c:v>Annualized Growth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'dat80'!$I$2:$I$285</c:f>
              <c:numCache>
                <c:formatCode>General</c:formatCode>
                <c:ptCount val="284"/>
                <c:pt idx="1">
                  <c:v>-0.48185418798448232</c:v>
                </c:pt>
                <c:pt idx="2">
                  <c:v>0.44732208315428612</c:v>
                </c:pt>
                <c:pt idx="3">
                  <c:v>-0.44961547832146331</c:v>
                </c:pt>
                <c:pt idx="4">
                  <c:v>1.8700695688524229</c:v>
                </c:pt>
                <c:pt idx="5">
                  <c:v>-0.48461111238827648</c:v>
                </c:pt>
                <c:pt idx="6">
                  <c:v>0.46101643962980576</c:v>
                </c:pt>
                <c:pt idx="7">
                  <c:v>-0.51558067627098025</c:v>
                </c:pt>
                <c:pt idx="8">
                  <c:v>2.1515043861641723</c:v>
                </c:pt>
                <c:pt idx="9">
                  <c:v>-0.46513139590603059</c:v>
                </c:pt>
                <c:pt idx="10">
                  <c:v>0.3343915634313428</c:v>
                </c:pt>
                <c:pt idx="11">
                  <c:v>-0.46689070615169914</c:v>
                </c:pt>
                <c:pt idx="12">
                  <c:v>1.739529400452791</c:v>
                </c:pt>
                <c:pt idx="13">
                  <c:v>-0.4943144217815344</c:v>
                </c:pt>
                <c:pt idx="14">
                  <c:v>0.45372760885315833</c:v>
                </c:pt>
                <c:pt idx="15">
                  <c:v>-0.51816434622316598</c:v>
                </c:pt>
                <c:pt idx="16">
                  <c:v>1.9021376227355602</c:v>
                </c:pt>
                <c:pt idx="17">
                  <c:v>-0.46315581343328827</c:v>
                </c:pt>
                <c:pt idx="18">
                  <c:v>0.33209380730139459</c:v>
                </c:pt>
                <c:pt idx="19">
                  <c:v>-0.44039512048746388</c:v>
                </c:pt>
                <c:pt idx="20">
                  <c:v>1.8656852232669108</c:v>
                </c:pt>
                <c:pt idx="21">
                  <c:v>-0.43553043351598653</c:v>
                </c:pt>
                <c:pt idx="22">
                  <c:v>0.3078758881045518</c:v>
                </c:pt>
                <c:pt idx="23">
                  <c:v>-0.42740406223522664</c:v>
                </c:pt>
                <c:pt idx="24">
                  <c:v>1.8202265510715856</c:v>
                </c:pt>
                <c:pt idx="25">
                  <c:v>-0.49157103772638611</c:v>
                </c:pt>
                <c:pt idx="26">
                  <c:v>0.20106620391305352</c:v>
                </c:pt>
                <c:pt idx="27">
                  <c:v>-0.40211954508301861</c:v>
                </c:pt>
                <c:pt idx="28">
                  <c:v>1.7024377332596479</c:v>
                </c:pt>
                <c:pt idx="29">
                  <c:v>-0.48469660858514596</c:v>
                </c:pt>
                <c:pt idx="30">
                  <c:v>0.38024503863969805</c:v>
                </c:pt>
                <c:pt idx="31">
                  <c:v>-0.40710800966323335</c:v>
                </c:pt>
                <c:pt idx="32">
                  <c:v>1.535734354691503</c:v>
                </c:pt>
                <c:pt idx="33">
                  <c:v>-0.46794185349673345</c:v>
                </c:pt>
                <c:pt idx="34">
                  <c:v>0.59929848353565451</c:v>
                </c:pt>
                <c:pt idx="35">
                  <c:v>-0.55622852927821065</c:v>
                </c:pt>
                <c:pt idx="36">
                  <c:v>1.9848561321802665</c:v>
                </c:pt>
                <c:pt idx="37">
                  <c:v>-0.54751432130936561</c:v>
                </c:pt>
                <c:pt idx="38">
                  <c:v>0.76111532720028485</c:v>
                </c:pt>
                <c:pt idx="39">
                  <c:v>-0.4557928082442072</c:v>
                </c:pt>
                <c:pt idx="40">
                  <c:v>1.4309507885759425</c:v>
                </c:pt>
                <c:pt idx="41">
                  <c:v>-0.5522303913114861</c:v>
                </c:pt>
                <c:pt idx="42">
                  <c:v>0.57777151538883564</c:v>
                </c:pt>
                <c:pt idx="43">
                  <c:v>-0.40099426737822041</c:v>
                </c:pt>
                <c:pt idx="44">
                  <c:v>1.5903708685301066</c:v>
                </c:pt>
                <c:pt idx="45">
                  <c:v>-0.49636373408933032</c:v>
                </c:pt>
                <c:pt idx="46">
                  <c:v>0.31478356975774191</c:v>
                </c:pt>
                <c:pt idx="47">
                  <c:v>-0.38313277070616825</c:v>
                </c:pt>
                <c:pt idx="48">
                  <c:v>1.6472107479798339</c:v>
                </c:pt>
                <c:pt idx="49">
                  <c:v>-0.44316258182244073</c:v>
                </c:pt>
                <c:pt idx="50">
                  <c:v>0.39955794715945925</c:v>
                </c:pt>
                <c:pt idx="51">
                  <c:v>-0.39402633349845373</c:v>
                </c:pt>
                <c:pt idx="52">
                  <c:v>1.3483036121232219</c:v>
                </c:pt>
                <c:pt idx="53">
                  <c:v>-0.44028797037084311</c:v>
                </c:pt>
                <c:pt idx="54">
                  <c:v>0.3413469266021476</c:v>
                </c:pt>
                <c:pt idx="55">
                  <c:v>-0.43279507353029389</c:v>
                </c:pt>
                <c:pt idx="56">
                  <c:v>1.844219082803769</c:v>
                </c:pt>
                <c:pt idx="57">
                  <c:v>-0.55021505523550529</c:v>
                </c:pt>
                <c:pt idx="58">
                  <c:v>0.28996607185246259</c:v>
                </c:pt>
                <c:pt idx="59">
                  <c:v>-0.39402633349845373</c:v>
                </c:pt>
                <c:pt idx="60">
                  <c:v>1.70335830202484</c:v>
                </c:pt>
                <c:pt idx="61">
                  <c:v>-0.4657603576823397</c:v>
                </c:pt>
                <c:pt idx="62">
                  <c:v>0.44725143387665089</c:v>
                </c:pt>
                <c:pt idx="63">
                  <c:v>-0.39619203717177109</c:v>
                </c:pt>
                <c:pt idx="64">
                  <c:v>1.5886114067660295</c:v>
                </c:pt>
                <c:pt idx="65">
                  <c:v>-0.50811124444263567</c:v>
                </c:pt>
                <c:pt idx="66">
                  <c:v>0.40583892573871472</c:v>
                </c:pt>
                <c:pt idx="67">
                  <c:v>-0.38596986657875809</c:v>
                </c:pt>
                <c:pt idx="68">
                  <c:v>1.6347501413477796</c:v>
                </c:pt>
                <c:pt idx="69">
                  <c:v>-0.53020056162991391</c:v>
                </c:pt>
                <c:pt idx="70">
                  <c:v>0.42137655681295549</c:v>
                </c:pt>
                <c:pt idx="71">
                  <c:v>-0.40825159865658367</c:v>
                </c:pt>
                <c:pt idx="72">
                  <c:v>1.6265422272602086</c:v>
                </c:pt>
                <c:pt idx="73">
                  <c:v>-0.55328901370876993</c:v>
                </c:pt>
                <c:pt idx="74">
                  <c:v>0.53548931432103486</c:v>
                </c:pt>
                <c:pt idx="75">
                  <c:v>-0.3657671868428094</c:v>
                </c:pt>
                <c:pt idx="76">
                  <c:v>1.3562004177455158</c:v>
                </c:pt>
                <c:pt idx="77">
                  <c:v>-0.38032020546321221</c:v>
                </c:pt>
                <c:pt idx="78">
                  <c:v>0.40772601741603975</c:v>
                </c:pt>
                <c:pt idx="79">
                  <c:v>-0.45213482328359</c:v>
                </c:pt>
                <c:pt idx="80">
                  <c:v>1.4540331054846467</c:v>
                </c:pt>
                <c:pt idx="81">
                  <c:v>-0.49165166457882414</c:v>
                </c:pt>
                <c:pt idx="82">
                  <c:v>0.34024539803050913</c:v>
                </c:pt>
                <c:pt idx="83">
                  <c:v>-0.42503682876371995</c:v>
                </c:pt>
                <c:pt idx="84">
                  <c:v>1.5218581666196505</c:v>
                </c:pt>
                <c:pt idx="85">
                  <c:v>-0.44418033327612672</c:v>
                </c:pt>
                <c:pt idx="86">
                  <c:v>0.35458281427684146</c:v>
                </c:pt>
                <c:pt idx="87">
                  <c:v>-0.36755881920446132</c:v>
                </c:pt>
                <c:pt idx="88">
                  <c:v>1.3998062279831052</c:v>
                </c:pt>
                <c:pt idx="89">
                  <c:v>-0.48808422574272481</c:v>
                </c:pt>
                <c:pt idx="90">
                  <c:v>0.54996656841271441</c:v>
                </c:pt>
                <c:pt idx="91">
                  <c:v>-0.44691643191970687</c:v>
                </c:pt>
                <c:pt idx="92">
                  <c:v>1.3625332396301539</c:v>
                </c:pt>
                <c:pt idx="93">
                  <c:v>-0.39552720755478066</c:v>
                </c:pt>
                <c:pt idx="94">
                  <c:v>0.29754671982558833</c:v>
                </c:pt>
                <c:pt idx="95">
                  <c:v>-0.48088260389649817</c:v>
                </c:pt>
                <c:pt idx="96">
                  <c:v>1.7029868225496529</c:v>
                </c:pt>
                <c:pt idx="97">
                  <c:v>-0.46437025033355173</c:v>
                </c:pt>
                <c:pt idx="98">
                  <c:v>0.50329037222715622</c:v>
                </c:pt>
                <c:pt idx="99">
                  <c:v>-0.49057626028184409</c:v>
                </c:pt>
                <c:pt idx="100">
                  <c:v>1.6809761172586595</c:v>
                </c:pt>
                <c:pt idx="101">
                  <c:v>-0.44118242415824183</c:v>
                </c:pt>
                <c:pt idx="102">
                  <c:v>0.35880875627855913</c:v>
                </c:pt>
                <c:pt idx="103">
                  <c:v>-0.46273119241567218</c:v>
                </c:pt>
                <c:pt idx="104">
                  <c:v>1.3100347534838939</c:v>
                </c:pt>
                <c:pt idx="105">
                  <c:v>-0.40703163790523988</c:v>
                </c:pt>
                <c:pt idx="106">
                  <c:v>0.58883587258733638</c:v>
                </c:pt>
                <c:pt idx="107">
                  <c:v>-0.40117998094002627</c:v>
                </c:pt>
                <c:pt idx="108">
                  <c:v>1.2961651382941763</c:v>
                </c:pt>
                <c:pt idx="109">
                  <c:v>-0.50694973595905779</c:v>
                </c:pt>
                <c:pt idx="110">
                  <c:v>0.56566490113000989</c:v>
                </c:pt>
                <c:pt idx="111">
                  <c:v>-0.47003247442216467</c:v>
                </c:pt>
                <c:pt idx="112">
                  <c:v>1.1239630381710546</c:v>
                </c:pt>
                <c:pt idx="113">
                  <c:v>-0.39654546339132368</c:v>
                </c:pt>
                <c:pt idx="114">
                  <c:v>0.48977856304992473</c:v>
                </c:pt>
                <c:pt idx="115">
                  <c:v>-0.38425013427845367</c:v>
                </c:pt>
                <c:pt idx="116">
                  <c:v>1.5297323853487685</c:v>
                </c:pt>
                <c:pt idx="117">
                  <c:v>-0.4570289566079857</c:v>
                </c:pt>
                <c:pt idx="118">
                  <c:v>0.46152185776843746</c:v>
                </c:pt>
                <c:pt idx="119">
                  <c:v>-0.47665255697177211</c:v>
                </c:pt>
                <c:pt idx="120">
                  <c:v>1.3532752748474364</c:v>
                </c:pt>
                <c:pt idx="121">
                  <c:v>-0.42402233306244219</c:v>
                </c:pt>
                <c:pt idx="122">
                  <c:v>0.49423188521364092</c:v>
                </c:pt>
                <c:pt idx="123">
                  <c:v>-0.39963069926971628</c:v>
                </c:pt>
                <c:pt idx="124">
                  <c:v>1.1942065771199077</c:v>
                </c:pt>
                <c:pt idx="125">
                  <c:v>-0.46060774526787962</c:v>
                </c:pt>
                <c:pt idx="126">
                  <c:v>0.35907099125096043</c:v>
                </c:pt>
                <c:pt idx="127">
                  <c:v>-0.33155548401884005</c:v>
                </c:pt>
                <c:pt idx="128">
                  <c:v>1.1841733972759116</c:v>
                </c:pt>
                <c:pt idx="129">
                  <c:v>-0.36888510478625203</c:v>
                </c:pt>
                <c:pt idx="130">
                  <c:v>0.35144462018084255</c:v>
                </c:pt>
                <c:pt idx="131">
                  <c:v>-0.4434809944805741</c:v>
                </c:pt>
                <c:pt idx="132">
                  <c:v>1.2793943818541389</c:v>
                </c:pt>
                <c:pt idx="133">
                  <c:v>-0.43022475988006625</c:v>
                </c:pt>
                <c:pt idx="134">
                  <c:v>0.49850471345511704</c:v>
                </c:pt>
                <c:pt idx="135">
                  <c:v>-0.37084525404519109</c:v>
                </c:pt>
                <c:pt idx="136">
                  <c:v>1.1758396724391953</c:v>
                </c:pt>
                <c:pt idx="137">
                  <c:v>-0.47086560883299156</c:v>
                </c:pt>
                <c:pt idx="138">
                  <c:v>0.24578415904013085</c:v>
                </c:pt>
                <c:pt idx="139">
                  <c:v>-0.30278886384853765</c:v>
                </c:pt>
                <c:pt idx="140">
                  <c:v>1.3765511450289658</c:v>
                </c:pt>
                <c:pt idx="141">
                  <c:v>-0.4683260225440864</c:v>
                </c:pt>
                <c:pt idx="142">
                  <c:v>0.28679968962781865</c:v>
                </c:pt>
                <c:pt idx="143">
                  <c:v>-0.30013010806324913</c:v>
                </c:pt>
                <c:pt idx="144">
                  <c:v>1.0884608442509762</c:v>
                </c:pt>
                <c:pt idx="145">
                  <c:v>-0.43670344693318575</c:v>
                </c:pt>
                <c:pt idx="146">
                  <c:v>0.52060486658998562</c:v>
                </c:pt>
                <c:pt idx="147">
                  <c:v>-0.45391373365971455</c:v>
                </c:pt>
                <c:pt idx="148">
                  <c:v>1.4641148814564784</c:v>
                </c:pt>
                <c:pt idx="149">
                  <c:v>-0.48235398131045659</c:v>
                </c:pt>
                <c:pt idx="150">
                  <c:v>0.45170081892445357</c:v>
                </c:pt>
                <c:pt idx="151">
                  <c:v>-0.34210696083970693</c:v>
                </c:pt>
                <c:pt idx="152">
                  <c:v>0.9577918065250377</c:v>
                </c:pt>
                <c:pt idx="153">
                  <c:v>-0.36553820930165548</c:v>
                </c:pt>
                <c:pt idx="154">
                  <c:v>0.46010747151731901</c:v>
                </c:pt>
                <c:pt idx="155">
                  <c:v>-0.44224654268022712</c:v>
                </c:pt>
                <c:pt idx="156">
                  <c:v>1.3008586620059912</c:v>
                </c:pt>
                <c:pt idx="157">
                  <c:v>-0.40272820381840402</c:v>
                </c:pt>
                <c:pt idx="158">
                  <c:v>0.27634562310205557</c:v>
                </c:pt>
                <c:pt idx="159">
                  <c:v>-0.36795655085208823</c:v>
                </c:pt>
                <c:pt idx="160">
                  <c:v>1.2850626659772555</c:v>
                </c:pt>
                <c:pt idx="161">
                  <c:v>-0.43269765539335059</c:v>
                </c:pt>
                <c:pt idx="162">
                  <c:v>0.37634500065333443</c:v>
                </c:pt>
                <c:pt idx="163">
                  <c:v>-0.32063435400355711</c:v>
                </c:pt>
                <c:pt idx="164">
                  <c:v>0.9670653874831141</c:v>
                </c:pt>
                <c:pt idx="165">
                  <c:v>-0.43782196767996551</c:v>
                </c:pt>
                <c:pt idx="166">
                  <c:v>0.40524944868827828</c:v>
                </c:pt>
                <c:pt idx="167">
                  <c:v>-0.37783166729277839</c:v>
                </c:pt>
                <c:pt idx="168">
                  <c:v>1.2141051018943547</c:v>
                </c:pt>
                <c:pt idx="169">
                  <c:v>-0.36985287257761035</c:v>
                </c:pt>
                <c:pt idx="170">
                  <c:v>0.28302284275340228</c:v>
                </c:pt>
                <c:pt idx="171">
                  <c:v>-0.36105409385989284</c:v>
                </c:pt>
                <c:pt idx="172">
                  <c:v>1.2885409112665336</c:v>
                </c:pt>
                <c:pt idx="173">
                  <c:v>-0.44316258182244073</c:v>
                </c:pt>
                <c:pt idx="174">
                  <c:v>0.45625730342751547</c:v>
                </c:pt>
                <c:pt idx="175">
                  <c:v>-0.39132674587801763</c:v>
                </c:pt>
                <c:pt idx="176">
                  <c:v>1.0471961302406716</c:v>
                </c:pt>
                <c:pt idx="177">
                  <c:v>-0.4489154786701659</c:v>
                </c:pt>
                <c:pt idx="178">
                  <c:v>0.32357472198664761</c:v>
                </c:pt>
                <c:pt idx="179">
                  <c:v>-0.35923885018850343</c:v>
                </c:pt>
                <c:pt idx="180">
                  <c:v>1.3483036121232219</c:v>
                </c:pt>
                <c:pt idx="181">
                  <c:v>-0.44630901894650987</c:v>
                </c:pt>
                <c:pt idx="182">
                  <c:v>0.43673347592926492</c:v>
                </c:pt>
                <c:pt idx="183">
                  <c:v>-0.36189365518556471</c:v>
                </c:pt>
                <c:pt idx="184">
                  <c:v>1.3679313527856829</c:v>
                </c:pt>
                <c:pt idx="185">
                  <c:v>-0.42306832128860594</c:v>
                </c:pt>
                <c:pt idx="186">
                  <c:v>0.41258716200296064</c:v>
                </c:pt>
                <c:pt idx="187">
                  <c:v>-0.40981876714334542</c:v>
                </c:pt>
                <c:pt idx="188">
                  <c:v>1.1870328972543209</c:v>
                </c:pt>
                <c:pt idx="189">
                  <c:v>-0.46307712371847654</c:v>
                </c:pt>
                <c:pt idx="190">
                  <c:v>0.44293703713100041</c:v>
                </c:pt>
                <c:pt idx="191">
                  <c:v>-0.32157146000981918</c:v>
                </c:pt>
                <c:pt idx="192">
                  <c:v>0.96101290470449019</c:v>
                </c:pt>
                <c:pt idx="193">
                  <c:v>-0.37666042245724674</c:v>
                </c:pt>
                <c:pt idx="194">
                  <c:v>0.30923287137113387</c:v>
                </c:pt>
                <c:pt idx="195">
                  <c:v>-0.3052041181954197</c:v>
                </c:pt>
                <c:pt idx="196">
                  <c:v>1.0494046494563665</c:v>
                </c:pt>
                <c:pt idx="197">
                  <c:v>-0.42886839986104486</c:v>
                </c:pt>
                <c:pt idx="198">
                  <c:v>0.24230277870944605</c:v>
                </c:pt>
                <c:pt idx="199">
                  <c:v>-0.32667410893586502</c:v>
                </c:pt>
                <c:pt idx="200">
                  <c:v>1.2216456123339943</c:v>
                </c:pt>
                <c:pt idx="201">
                  <c:v>-0.41525058823261995</c:v>
                </c:pt>
                <c:pt idx="202">
                  <c:v>0.33170305454115079</c:v>
                </c:pt>
                <c:pt idx="203">
                  <c:v>-0.39063702694494506</c:v>
                </c:pt>
                <c:pt idx="204">
                  <c:v>1.2581863529364994</c:v>
                </c:pt>
                <c:pt idx="205">
                  <c:v>-0.48724816871877163</c:v>
                </c:pt>
                <c:pt idx="206">
                  <c:v>0.36102232172983162</c:v>
                </c:pt>
                <c:pt idx="207">
                  <c:v>-0.30984906724483496</c:v>
                </c:pt>
                <c:pt idx="208">
                  <c:v>1.3125989411355987</c:v>
                </c:pt>
                <c:pt idx="209">
                  <c:v>-0.3606202655963564</c:v>
                </c:pt>
                <c:pt idx="210">
                  <c:v>0.29750641452943416</c:v>
                </c:pt>
                <c:pt idx="211">
                  <c:v>-0.42751476360880325</c:v>
                </c:pt>
                <c:pt idx="212">
                  <c:v>1.4352200352340456</c:v>
                </c:pt>
                <c:pt idx="213">
                  <c:v>-0.43587361825011206</c:v>
                </c:pt>
                <c:pt idx="214">
                  <c:v>0.17429956667308399</c:v>
                </c:pt>
                <c:pt idx="215">
                  <c:v>-0.31966380576246756</c:v>
                </c:pt>
                <c:pt idx="216">
                  <c:v>1.1975231552117758</c:v>
                </c:pt>
                <c:pt idx="217">
                  <c:v>-0.34435081669351686</c:v>
                </c:pt>
                <c:pt idx="218">
                  <c:v>0.25562780672730567</c:v>
                </c:pt>
                <c:pt idx="219">
                  <c:v>-0.34893888497867753</c:v>
                </c:pt>
                <c:pt idx="220">
                  <c:v>0.90203163751722526</c:v>
                </c:pt>
                <c:pt idx="221">
                  <c:v>-0.31041675059363161</c:v>
                </c:pt>
                <c:pt idx="222">
                  <c:v>0.29115596193893434</c:v>
                </c:pt>
                <c:pt idx="223">
                  <c:v>-0.37879584489381768</c:v>
                </c:pt>
                <c:pt idx="224">
                  <c:v>1.0091254911984771</c:v>
                </c:pt>
                <c:pt idx="225">
                  <c:v>-0.36069752541604516</c:v>
                </c:pt>
                <c:pt idx="226">
                  <c:v>0.30292080366242624</c:v>
                </c:pt>
                <c:pt idx="227">
                  <c:v>-0.37151719283426698</c:v>
                </c:pt>
                <c:pt idx="228">
                  <c:v>1.0418496009580172</c:v>
                </c:pt>
                <c:pt idx="229">
                  <c:v>-0.3398797127463471</c:v>
                </c:pt>
                <c:pt idx="230">
                  <c:v>0.35102684681726881</c:v>
                </c:pt>
                <c:pt idx="231">
                  <c:v>-0.38065079911114708</c:v>
                </c:pt>
                <c:pt idx="232">
                  <c:v>1.0087907003882592</c:v>
                </c:pt>
                <c:pt idx="233">
                  <c:v>-0.33746888884390136</c:v>
                </c:pt>
                <c:pt idx="234">
                  <c:v>0.3347003211213202</c:v>
                </c:pt>
                <c:pt idx="235">
                  <c:v>-0.41996335115163386</c:v>
                </c:pt>
                <c:pt idx="236">
                  <c:v>1.1016102738078368</c:v>
                </c:pt>
                <c:pt idx="237">
                  <c:v>-0.28931431909472116</c:v>
                </c:pt>
                <c:pt idx="238">
                  <c:v>0.28098310578873842</c:v>
                </c:pt>
                <c:pt idx="239">
                  <c:v>-0.36948964922716676</c:v>
                </c:pt>
                <c:pt idx="240">
                  <c:v>1.0215139771088326</c:v>
                </c:pt>
                <c:pt idx="241">
                  <c:v>-0.35121165566090251</c:v>
                </c:pt>
                <c:pt idx="242">
                  <c:v>0.1426323792206281</c:v>
                </c:pt>
                <c:pt idx="243">
                  <c:v>-0.32614529727394015</c:v>
                </c:pt>
                <c:pt idx="244">
                  <c:v>1.0962614827230008</c:v>
                </c:pt>
                <c:pt idx="245">
                  <c:v>-0.40946733224784837</c:v>
                </c:pt>
                <c:pt idx="246">
                  <c:v>0.38064262713544061</c:v>
                </c:pt>
                <c:pt idx="247">
                  <c:v>-0.32297442329786807</c:v>
                </c:pt>
                <c:pt idx="248">
                  <c:v>0.93183896855841986</c:v>
                </c:pt>
                <c:pt idx="249">
                  <c:v>-0.40776726409086061</c:v>
                </c:pt>
                <c:pt idx="250">
                  <c:v>0.41718143382484452</c:v>
                </c:pt>
                <c:pt idx="251">
                  <c:v>-0.24566875833954638</c:v>
                </c:pt>
                <c:pt idx="252">
                  <c:v>0.68373083026699666</c:v>
                </c:pt>
                <c:pt idx="253">
                  <c:v>-0.30263264945526702</c:v>
                </c:pt>
                <c:pt idx="254">
                  <c:v>0.34519661727596285</c:v>
                </c:pt>
                <c:pt idx="255">
                  <c:v>-0.37882461028273839</c:v>
                </c:pt>
                <c:pt idx="256">
                  <c:v>0.91325629180073009</c:v>
                </c:pt>
                <c:pt idx="257">
                  <c:v>-0.36266192348043502</c:v>
                </c:pt>
                <c:pt idx="258">
                  <c:v>0.30817543882342391</c:v>
                </c:pt>
                <c:pt idx="259">
                  <c:v>-0.31721508541708188</c:v>
                </c:pt>
                <c:pt idx="260">
                  <c:v>1.1011920879870161</c:v>
                </c:pt>
                <c:pt idx="261">
                  <c:v>-0.39293946673753888</c:v>
                </c:pt>
                <c:pt idx="262">
                  <c:v>0.30442345779278912</c:v>
                </c:pt>
                <c:pt idx="263">
                  <c:v>-0.30147539122046108</c:v>
                </c:pt>
                <c:pt idx="264">
                  <c:v>0.85667558764935858</c:v>
                </c:pt>
                <c:pt idx="265">
                  <c:v>-0.32129353089577695</c:v>
                </c:pt>
                <c:pt idx="266">
                  <c:v>0.21026679422484462</c:v>
                </c:pt>
                <c:pt idx="267">
                  <c:v>-0.38011679752565952</c:v>
                </c:pt>
                <c:pt idx="268">
                  <c:v>1.0710326567260493</c:v>
                </c:pt>
                <c:pt idx="269">
                  <c:v>-0.32628602964533993</c:v>
                </c:pt>
                <c:pt idx="270">
                  <c:v>0.287665672485935</c:v>
                </c:pt>
                <c:pt idx="271">
                  <c:v>-0.29786771212242824</c:v>
                </c:pt>
                <c:pt idx="272">
                  <c:v>0.80848832366877166</c:v>
                </c:pt>
                <c:pt idx="273">
                  <c:v>-0.29923422057154692</c:v>
                </c:pt>
                <c:pt idx="274">
                  <c:v>0.26152709518600781</c:v>
                </c:pt>
                <c:pt idx="275">
                  <c:v>-0.32688426003897841</c:v>
                </c:pt>
                <c:pt idx="276">
                  <c:v>0.91509913594246006</c:v>
                </c:pt>
                <c:pt idx="277">
                  <c:v>-0.33919080055842066</c:v>
                </c:pt>
                <c:pt idx="278">
                  <c:v>0.28213876453876052</c:v>
                </c:pt>
                <c:pt idx="279">
                  <c:v>-0.33100107605018547</c:v>
                </c:pt>
                <c:pt idx="280">
                  <c:v>1.0077175568007153</c:v>
                </c:pt>
                <c:pt idx="281">
                  <c:v>-0.37067538247714771</c:v>
                </c:pt>
                <c:pt idx="282">
                  <c:v>0.25786866412464438</c:v>
                </c:pt>
                <c:pt idx="283">
                  <c:v>-0.34755472182743885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C-41AD-9966-F4B16C18A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434800"/>
        <c:axId val="1282453936"/>
      </c:lineChart>
      <c:dateAx>
        <c:axId val="128243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53936"/>
        <c:crosses val="autoZero"/>
        <c:auto val="1"/>
        <c:lblOffset val="100"/>
        <c:baseTimeUnit val="months"/>
        <c:majorUnit val="40"/>
        <c:majorTimeUnit val="months"/>
      </c:dateAx>
      <c:valAx>
        <c:axId val="12824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Annualized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4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Comparison Between Original Expenditure,</a:t>
            </a:r>
            <a:r>
              <a:rPr lang="en-CA" baseline="0"/>
              <a:t> Linear Trend, and Quadratic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1514070096745E-2"/>
          <c:y val="8.8611111111111113E-2"/>
          <c:w val="0.88474782959822329"/>
          <c:h val="0.63630653427701633"/>
        </c:manualLayout>
      </c:layout>
      <c:lineChart>
        <c:grouping val="standard"/>
        <c:varyColors val="0"/>
        <c:ser>
          <c:idx val="0"/>
          <c:order val="0"/>
          <c:tx>
            <c:strRef>
              <c:f>'dat80'!$F$1</c:f>
              <c:strCache>
                <c:ptCount val="1"/>
                <c:pt idx="0">
                  <c:v>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'dat80'!$F$2:$F$285</c:f>
              <c:numCache>
                <c:formatCode>General</c:formatCode>
                <c:ptCount val="284"/>
                <c:pt idx="0">
                  <c:v>844</c:v>
                </c:pt>
                <c:pt idx="1">
                  <c:v>799</c:v>
                </c:pt>
                <c:pt idx="2">
                  <c:v>824</c:v>
                </c:pt>
                <c:pt idx="3">
                  <c:v>784</c:v>
                </c:pt>
                <c:pt idx="4">
                  <c:v>856</c:v>
                </c:pt>
                <c:pt idx="5">
                  <c:v>810</c:v>
                </c:pt>
                <c:pt idx="6">
                  <c:v>836</c:v>
                </c:pt>
                <c:pt idx="7">
                  <c:v>787</c:v>
                </c:pt>
                <c:pt idx="8">
                  <c:v>866</c:v>
                </c:pt>
                <c:pt idx="9">
                  <c:v>822</c:v>
                </c:pt>
                <c:pt idx="10">
                  <c:v>842</c:v>
                </c:pt>
                <c:pt idx="11">
                  <c:v>799</c:v>
                </c:pt>
                <c:pt idx="12">
                  <c:v>869</c:v>
                </c:pt>
                <c:pt idx="13">
                  <c:v>821</c:v>
                </c:pt>
                <c:pt idx="14">
                  <c:v>847</c:v>
                </c:pt>
                <c:pt idx="15">
                  <c:v>797</c:v>
                </c:pt>
                <c:pt idx="16">
                  <c:v>871</c:v>
                </c:pt>
                <c:pt idx="17">
                  <c:v>827</c:v>
                </c:pt>
                <c:pt idx="18">
                  <c:v>847</c:v>
                </c:pt>
                <c:pt idx="19">
                  <c:v>807</c:v>
                </c:pt>
                <c:pt idx="20">
                  <c:v>881</c:v>
                </c:pt>
                <c:pt idx="21">
                  <c:v>840</c:v>
                </c:pt>
                <c:pt idx="22">
                  <c:v>859</c:v>
                </c:pt>
                <c:pt idx="23">
                  <c:v>820</c:v>
                </c:pt>
                <c:pt idx="24">
                  <c:v>894</c:v>
                </c:pt>
                <c:pt idx="25">
                  <c:v>845</c:v>
                </c:pt>
                <c:pt idx="26">
                  <c:v>858</c:v>
                </c:pt>
                <c:pt idx="27">
                  <c:v>822</c:v>
                </c:pt>
                <c:pt idx="28">
                  <c:v>893</c:v>
                </c:pt>
                <c:pt idx="29">
                  <c:v>845</c:v>
                </c:pt>
                <c:pt idx="30">
                  <c:v>868</c:v>
                </c:pt>
                <c:pt idx="31">
                  <c:v>831</c:v>
                </c:pt>
                <c:pt idx="32">
                  <c:v>898</c:v>
                </c:pt>
                <c:pt idx="33">
                  <c:v>852</c:v>
                </c:pt>
                <c:pt idx="34">
                  <c:v>886</c:v>
                </c:pt>
                <c:pt idx="35">
                  <c:v>828</c:v>
                </c:pt>
                <c:pt idx="36">
                  <c:v>907</c:v>
                </c:pt>
                <c:pt idx="37">
                  <c:v>849</c:v>
                </c:pt>
                <c:pt idx="38">
                  <c:v>890</c:v>
                </c:pt>
                <c:pt idx="39">
                  <c:v>846</c:v>
                </c:pt>
                <c:pt idx="40">
                  <c:v>911</c:v>
                </c:pt>
                <c:pt idx="41">
                  <c:v>852</c:v>
                </c:pt>
                <c:pt idx="42">
                  <c:v>885</c:v>
                </c:pt>
                <c:pt idx="43">
                  <c:v>848</c:v>
                </c:pt>
                <c:pt idx="44">
                  <c:v>918</c:v>
                </c:pt>
                <c:pt idx="45">
                  <c:v>867</c:v>
                </c:pt>
                <c:pt idx="46">
                  <c:v>887</c:v>
                </c:pt>
                <c:pt idx="47">
                  <c:v>852</c:v>
                </c:pt>
                <c:pt idx="48">
                  <c:v>924</c:v>
                </c:pt>
                <c:pt idx="49">
                  <c:v>880</c:v>
                </c:pt>
                <c:pt idx="50">
                  <c:v>905</c:v>
                </c:pt>
                <c:pt idx="51">
                  <c:v>868</c:v>
                </c:pt>
                <c:pt idx="52">
                  <c:v>932</c:v>
                </c:pt>
                <c:pt idx="53">
                  <c:v>888</c:v>
                </c:pt>
                <c:pt idx="54">
                  <c:v>910</c:v>
                </c:pt>
                <c:pt idx="55">
                  <c:v>868</c:v>
                </c:pt>
                <c:pt idx="56">
                  <c:v>947</c:v>
                </c:pt>
                <c:pt idx="57">
                  <c:v>886</c:v>
                </c:pt>
                <c:pt idx="58">
                  <c:v>905</c:v>
                </c:pt>
                <c:pt idx="59">
                  <c:v>868</c:v>
                </c:pt>
                <c:pt idx="60">
                  <c:v>943</c:v>
                </c:pt>
                <c:pt idx="61">
                  <c:v>895</c:v>
                </c:pt>
                <c:pt idx="62">
                  <c:v>923</c:v>
                </c:pt>
                <c:pt idx="63">
                  <c:v>885</c:v>
                </c:pt>
                <c:pt idx="64">
                  <c:v>958</c:v>
                </c:pt>
                <c:pt idx="65">
                  <c:v>903</c:v>
                </c:pt>
                <c:pt idx="66">
                  <c:v>929</c:v>
                </c:pt>
                <c:pt idx="67">
                  <c:v>892</c:v>
                </c:pt>
                <c:pt idx="68">
                  <c:v>967</c:v>
                </c:pt>
                <c:pt idx="69">
                  <c:v>908</c:v>
                </c:pt>
                <c:pt idx="70">
                  <c:v>935</c:v>
                </c:pt>
                <c:pt idx="71">
                  <c:v>895</c:v>
                </c:pt>
                <c:pt idx="72">
                  <c:v>970</c:v>
                </c:pt>
                <c:pt idx="73">
                  <c:v>907</c:v>
                </c:pt>
                <c:pt idx="74">
                  <c:v>940</c:v>
                </c:pt>
                <c:pt idx="75">
                  <c:v>905</c:v>
                </c:pt>
                <c:pt idx="76">
                  <c:v>972</c:v>
                </c:pt>
                <c:pt idx="77">
                  <c:v>934</c:v>
                </c:pt>
                <c:pt idx="78">
                  <c:v>961</c:v>
                </c:pt>
                <c:pt idx="79">
                  <c:v>914</c:v>
                </c:pt>
                <c:pt idx="80">
                  <c:v>985</c:v>
                </c:pt>
                <c:pt idx="81">
                  <c:v>931</c:v>
                </c:pt>
                <c:pt idx="82">
                  <c:v>954</c:v>
                </c:pt>
                <c:pt idx="83">
                  <c:v>911</c:v>
                </c:pt>
                <c:pt idx="84">
                  <c:v>984</c:v>
                </c:pt>
                <c:pt idx="85">
                  <c:v>937</c:v>
                </c:pt>
                <c:pt idx="86">
                  <c:v>961</c:v>
                </c:pt>
                <c:pt idx="87">
                  <c:v>925</c:v>
                </c:pt>
                <c:pt idx="88">
                  <c:v>995</c:v>
                </c:pt>
                <c:pt idx="89">
                  <c:v>941</c:v>
                </c:pt>
                <c:pt idx="90">
                  <c:v>976</c:v>
                </c:pt>
                <c:pt idx="91">
                  <c:v>929</c:v>
                </c:pt>
                <c:pt idx="92">
                  <c:v>998</c:v>
                </c:pt>
                <c:pt idx="93">
                  <c:v>957</c:v>
                </c:pt>
                <c:pt idx="94">
                  <c:v>978</c:v>
                </c:pt>
                <c:pt idx="95">
                  <c:v>926</c:v>
                </c:pt>
                <c:pt idx="96">
                  <c:v>1006</c:v>
                </c:pt>
                <c:pt idx="97">
                  <c:v>955</c:v>
                </c:pt>
                <c:pt idx="98">
                  <c:v>988</c:v>
                </c:pt>
                <c:pt idx="99">
                  <c:v>934</c:v>
                </c:pt>
                <c:pt idx="100">
                  <c:v>1014</c:v>
                </c:pt>
                <c:pt idx="101">
                  <c:v>966</c:v>
                </c:pt>
                <c:pt idx="102">
                  <c:v>991</c:v>
                </c:pt>
                <c:pt idx="103">
                  <c:v>941</c:v>
                </c:pt>
                <c:pt idx="104">
                  <c:v>1009</c:v>
                </c:pt>
                <c:pt idx="105">
                  <c:v>966</c:v>
                </c:pt>
                <c:pt idx="106">
                  <c:v>1004</c:v>
                </c:pt>
                <c:pt idx="107">
                  <c:v>962</c:v>
                </c:pt>
                <c:pt idx="108">
                  <c:v>1031</c:v>
                </c:pt>
                <c:pt idx="109">
                  <c:v>972</c:v>
                </c:pt>
                <c:pt idx="110">
                  <c:v>1009</c:v>
                </c:pt>
                <c:pt idx="111">
                  <c:v>957</c:v>
                </c:pt>
                <c:pt idx="112">
                  <c:v>1019</c:v>
                </c:pt>
                <c:pt idx="113">
                  <c:v>977</c:v>
                </c:pt>
                <c:pt idx="114">
                  <c:v>1010</c:v>
                </c:pt>
                <c:pt idx="115">
                  <c:v>970</c:v>
                </c:pt>
                <c:pt idx="116">
                  <c:v>1048</c:v>
                </c:pt>
                <c:pt idx="117">
                  <c:v>996</c:v>
                </c:pt>
                <c:pt idx="118">
                  <c:v>1028</c:v>
                </c:pt>
                <c:pt idx="119">
                  <c:v>974</c:v>
                </c:pt>
                <c:pt idx="120">
                  <c:v>1046</c:v>
                </c:pt>
                <c:pt idx="121">
                  <c:v>999</c:v>
                </c:pt>
                <c:pt idx="122">
                  <c:v>1033</c:v>
                </c:pt>
                <c:pt idx="123">
                  <c:v>990</c:v>
                </c:pt>
                <c:pt idx="124">
                  <c:v>1057</c:v>
                </c:pt>
                <c:pt idx="125">
                  <c:v>1004</c:v>
                </c:pt>
                <c:pt idx="126">
                  <c:v>1030</c:v>
                </c:pt>
                <c:pt idx="127">
                  <c:v>996</c:v>
                </c:pt>
                <c:pt idx="128">
                  <c:v>1063</c:v>
                </c:pt>
                <c:pt idx="129">
                  <c:v>1023</c:v>
                </c:pt>
                <c:pt idx="130">
                  <c:v>1049</c:v>
                </c:pt>
                <c:pt idx="131">
                  <c:v>999</c:v>
                </c:pt>
                <c:pt idx="132">
                  <c:v>1070</c:v>
                </c:pt>
                <c:pt idx="133">
                  <c:v>1021</c:v>
                </c:pt>
                <c:pt idx="134">
                  <c:v>1056</c:v>
                </c:pt>
                <c:pt idx="135">
                  <c:v>1016</c:v>
                </c:pt>
                <c:pt idx="136">
                  <c:v>1084</c:v>
                </c:pt>
                <c:pt idx="137">
                  <c:v>1028</c:v>
                </c:pt>
                <c:pt idx="138">
                  <c:v>1047</c:v>
                </c:pt>
                <c:pt idx="139">
                  <c:v>1016</c:v>
                </c:pt>
                <c:pt idx="140">
                  <c:v>1092</c:v>
                </c:pt>
                <c:pt idx="141">
                  <c:v>1036</c:v>
                </c:pt>
                <c:pt idx="142">
                  <c:v>1058</c:v>
                </c:pt>
                <c:pt idx="143">
                  <c:v>1027</c:v>
                </c:pt>
                <c:pt idx="144">
                  <c:v>1092</c:v>
                </c:pt>
                <c:pt idx="145">
                  <c:v>1041</c:v>
                </c:pt>
                <c:pt idx="146">
                  <c:v>1078</c:v>
                </c:pt>
                <c:pt idx="147">
                  <c:v>1025</c:v>
                </c:pt>
                <c:pt idx="148">
                  <c:v>1105</c:v>
                </c:pt>
                <c:pt idx="149">
                  <c:v>1046</c:v>
                </c:pt>
                <c:pt idx="150">
                  <c:v>1079</c:v>
                </c:pt>
                <c:pt idx="151">
                  <c:v>1042</c:v>
                </c:pt>
                <c:pt idx="152">
                  <c:v>1102</c:v>
                </c:pt>
                <c:pt idx="153">
                  <c:v>1061</c:v>
                </c:pt>
                <c:pt idx="154">
                  <c:v>1095</c:v>
                </c:pt>
                <c:pt idx="155">
                  <c:v>1043</c:v>
                </c:pt>
                <c:pt idx="156">
                  <c:v>1118</c:v>
                </c:pt>
                <c:pt idx="157">
                  <c:v>1071</c:v>
                </c:pt>
                <c:pt idx="158">
                  <c:v>1093</c:v>
                </c:pt>
                <c:pt idx="159">
                  <c:v>1052</c:v>
                </c:pt>
                <c:pt idx="160">
                  <c:v>1127</c:v>
                </c:pt>
                <c:pt idx="161">
                  <c:v>1075</c:v>
                </c:pt>
                <c:pt idx="162">
                  <c:v>1104</c:v>
                </c:pt>
                <c:pt idx="163">
                  <c:v>1069</c:v>
                </c:pt>
                <c:pt idx="164">
                  <c:v>1131</c:v>
                </c:pt>
                <c:pt idx="165">
                  <c:v>1078</c:v>
                </c:pt>
                <c:pt idx="166">
                  <c:v>1109</c:v>
                </c:pt>
                <c:pt idx="167">
                  <c:v>1066</c:v>
                </c:pt>
                <c:pt idx="168">
                  <c:v>1139</c:v>
                </c:pt>
                <c:pt idx="169">
                  <c:v>1096</c:v>
                </c:pt>
                <c:pt idx="170">
                  <c:v>1119</c:v>
                </c:pt>
                <c:pt idx="171">
                  <c:v>1078</c:v>
                </c:pt>
                <c:pt idx="172">
                  <c:v>1155</c:v>
                </c:pt>
                <c:pt idx="173">
                  <c:v>1100</c:v>
                </c:pt>
                <c:pt idx="174">
                  <c:v>1135</c:v>
                </c:pt>
                <c:pt idx="175">
                  <c:v>1089</c:v>
                </c:pt>
                <c:pt idx="176">
                  <c:v>1156</c:v>
                </c:pt>
                <c:pt idx="177">
                  <c:v>1100</c:v>
                </c:pt>
                <c:pt idx="178">
                  <c:v>1126</c:v>
                </c:pt>
                <c:pt idx="179">
                  <c:v>1085</c:v>
                </c:pt>
                <c:pt idx="180">
                  <c:v>1165</c:v>
                </c:pt>
                <c:pt idx="181">
                  <c:v>1109</c:v>
                </c:pt>
                <c:pt idx="182">
                  <c:v>1143</c:v>
                </c:pt>
                <c:pt idx="183">
                  <c:v>1101</c:v>
                </c:pt>
                <c:pt idx="184">
                  <c:v>1183</c:v>
                </c:pt>
                <c:pt idx="185">
                  <c:v>1130</c:v>
                </c:pt>
                <c:pt idx="186">
                  <c:v>1163</c:v>
                </c:pt>
                <c:pt idx="187">
                  <c:v>1113</c:v>
                </c:pt>
                <c:pt idx="188">
                  <c:v>1188</c:v>
                </c:pt>
                <c:pt idx="189">
                  <c:v>1128</c:v>
                </c:pt>
                <c:pt idx="190">
                  <c:v>1163</c:v>
                </c:pt>
                <c:pt idx="191">
                  <c:v>1126</c:v>
                </c:pt>
                <c:pt idx="192">
                  <c:v>1191</c:v>
                </c:pt>
                <c:pt idx="193">
                  <c:v>1145</c:v>
                </c:pt>
                <c:pt idx="194">
                  <c:v>1171</c:v>
                </c:pt>
                <c:pt idx="195">
                  <c:v>1136</c:v>
                </c:pt>
                <c:pt idx="196">
                  <c:v>1206</c:v>
                </c:pt>
                <c:pt idx="197">
                  <c:v>1151</c:v>
                </c:pt>
                <c:pt idx="198">
                  <c:v>1172</c:v>
                </c:pt>
                <c:pt idx="199">
                  <c:v>1134</c:v>
                </c:pt>
                <c:pt idx="200">
                  <c:v>1212</c:v>
                </c:pt>
                <c:pt idx="201">
                  <c:v>1159</c:v>
                </c:pt>
                <c:pt idx="202">
                  <c:v>1187</c:v>
                </c:pt>
                <c:pt idx="203">
                  <c:v>1139</c:v>
                </c:pt>
                <c:pt idx="204">
                  <c:v>1219</c:v>
                </c:pt>
                <c:pt idx="205">
                  <c:v>1153</c:v>
                </c:pt>
                <c:pt idx="206">
                  <c:v>1183</c:v>
                </c:pt>
                <c:pt idx="207">
                  <c:v>1147</c:v>
                </c:pt>
                <c:pt idx="208">
                  <c:v>1230</c:v>
                </c:pt>
                <c:pt idx="209">
                  <c:v>1185</c:v>
                </c:pt>
                <c:pt idx="210">
                  <c:v>1211</c:v>
                </c:pt>
                <c:pt idx="211">
                  <c:v>1156</c:v>
                </c:pt>
                <c:pt idx="212">
                  <c:v>1245</c:v>
                </c:pt>
                <c:pt idx="213">
                  <c:v>1187</c:v>
                </c:pt>
                <c:pt idx="214">
                  <c:v>1203</c:v>
                </c:pt>
                <c:pt idx="215">
                  <c:v>1165</c:v>
                </c:pt>
                <c:pt idx="216">
                  <c:v>1244</c:v>
                </c:pt>
                <c:pt idx="217">
                  <c:v>1201</c:v>
                </c:pt>
                <c:pt idx="218">
                  <c:v>1224</c:v>
                </c:pt>
                <c:pt idx="219">
                  <c:v>1181</c:v>
                </c:pt>
                <c:pt idx="220">
                  <c:v>1246</c:v>
                </c:pt>
                <c:pt idx="221">
                  <c:v>1208</c:v>
                </c:pt>
                <c:pt idx="222">
                  <c:v>1234</c:v>
                </c:pt>
                <c:pt idx="223">
                  <c:v>1186</c:v>
                </c:pt>
                <c:pt idx="224">
                  <c:v>1257</c:v>
                </c:pt>
                <c:pt idx="225">
                  <c:v>1211</c:v>
                </c:pt>
                <c:pt idx="226">
                  <c:v>1238</c:v>
                </c:pt>
                <c:pt idx="227">
                  <c:v>1191</c:v>
                </c:pt>
                <c:pt idx="228">
                  <c:v>1264</c:v>
                </c:pt>
                <c:pt idx="229">
                  <c:v>1221</c:v>
                </c:pt>
                <c:pt idx="230">
                  <c:v>1252</c:v>
                </c:pt>
                <c:pt idx="231">
                  <c:v>1203</c:v>
                </c:pt>
                <c:pt idx="232">
                  <c:v>1275</c:v>
                </c:pt>
                <c:pt idx="233">
                  <c:v>1232</c:v>
                </c:pt>
                <c:pt idx="234">
                  <c:v>1262</c:v>
                </c:pt>
                <c:pt idx="235">
                  <c:v>1206</c:v>
                </c:pt>
                <c:pt idx="236">
                  <c:v>1283</c:v>
                </c:pt>
                <c:pt idx="237">
                  <c:v>1247</c:v>
                </c:pt>
                <c:pt idx="238">
                  <c:v>1273</c:v>
                </c:pt>
                <c:pt idx="239">
                  <c:v>1225</c:v>
                </c:pt>
                <c:pt idx="240">
                  <c:v>1299</c:v>
                </c:pt>
                <c:pt idx="241">
                  <c:v>1253</c:v>
                </c:pt>
                <c:pt idx="242">
                  <c:v>1267</c:v>
                </c:pt>
                <c:pt idx="243">
                  <c:v>1226</c:v>
                </c:pt>
                <c:pt idx="244">
                  <c:v>1304</c:v>
                </c:pt>
                <c:pt idx="245">
                  <c:v>1248</c:v>
                </c:pt>
                <c:pt idx="246">
                  <c:v>1282</c:v>
                </c:pt>
                <c:pt idx="247">
                  <c:v>1241</c:v>
                </c:pt>
                <c:pt idx="248">
                  <c:v>1311</c:v>
                </c:pt>
                <c:pt idx="249">
                  <c:v>1255</c:v>
                </c:pt>
                <c:pt idx="250">
                  <c:v>1292</c:v>
                </c:pt>
                <c:pt idx="251">
                  <c:v>1262</c:v>
                </c:pt>
                <c:pt idx="252">
                  <c:v>1318</c:v>
                </c:pt>
                <c:pt idx="253">
                  <c:v>1279</c:v>
                </c:pt>
                <c:pt idx="254">
                  <c:v>1311</c:v>
                </c:pt>
                <c:pt idx="255">
                  <c:v>1260</c:v>
                </c:pt>
                <c:pt idx="256">
                  <c:v>1330</c:v>
                </c:pt>
                <c:pt idx="257">
                  <c:v>1281</c:v>
                </c:pt>
                <c:pt idx="258">
                  <c:v>1310</c:v>
                </c:pt>
                <c:pt idx="259">
                  <c:v>1269</c:v>
                </c:pt>
                <c:pt idx="260">
                  <c:v>1350</c:v>
                </c:pt>
                <c:pt idx="261">
                  <c:v>1295</c:v>
                </c:pt>
                <c:pt idx="262">
                  <c:v>1324</c:v>
                </c:pt>
                <c:pt idx="263">
                  <c:v>1285</c:v>
                </c:pt>
                <c:pt idx="264">
                  <c:v>1353</c:v>
                </c:pt>
                <c:pt idx="265">
                  <c:v>1310</c:v>
                </c:pt>
                <c:pt idx="266">
                  <c:v>1331</c:v>
                </c:pt>
                <c:pt idx="267">
                  <c:v>1279</c:v>
                </c:pt>
                <c:pt idx="268">
                  <c:v>1359</c:v>
                </c:pt>
                <c:pt idx="269">
                  <c:v>1315</c:v>
                </c:pt>
                <c:pt idx="270">
                  <c:v>1343</c:v>
                </c:pt>
                <c:pt idx="271">
                  <c:v>1304</c:v>
                </c:pt>
                <c:pt idx="272">
                  <c:v>1370</c:v>
                </c:pt>
                <c:pt idx="273">
                  <c:v>1330</c:v>
                </c:pt>
                <c:pt idx="274">
                  <c:v>1356</c:v>
                </c:pt>
                <c:pt idx="275">
                  <c:v>1312</c:v>
                </c:pt>
                <c:pt idx="276">
                  <c:v>1385</c:v>
                </c:pt>
                <c:pt idx="277">
                  <c:v>1338</c:v>
                </c:pt>
                <c:pt idx="278">
                  <c:v>1366</c:v>
                </c:pt>
                <c:pt idx="279">
                  <c:v>1321</c:v>
                </c:pt>
                <c:pt idx="280">
                  <c:v>1400</c:v>
                </c:pt>
                <c:pt idx="281">
                  <c:v>1347</c:v>
                </c:pt>
                <c:pt idx="282">
                  <c:v>1373</c:v>
                </c:pt>
                <c:pt idx="283">
                  <c:v>1325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2-44B3-A598-D024B4957C83}"/>
            </c:ext>
          </c:extLst>
        </c:ser>
        <c:ser>
          <c:idx val="1"/>
          <c:order val="1"/>
          <c:tx>
            <c:strRef>
              <c:f>'dat80'!$J$1</c:f>
              <c:strCache>
                <c:ptCount val="1"/>
                <c:pt idx="0">
                  <c:v>Linear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'dat80'!$J$2:$J$285</c:f>
              <c:numCache>
                <c:formatCode>General</c:formatCode>
                <c:ptCount val="284"/>
                <c:pt idx="0">
                  <c:v>792.76167531504871</c:v>
                </c:pt>
                <c:pt idx="1">
                  <c:v>794.68589479970979</c:v>
                </c:pt>
                <c:pt idx="2">
                  <c:v>796.61011428436905</c:v>
                </c:pt>
                <c:pt idx="3">
                  <c:v>798.53433376902831</c:v>
                </c:pt>
                <c:pt idx="4">
                  <c:v>800.45855325368757</c:v>
                </c:pt>
                <c:pt idx="5">
                  <c:v>802.38277273834683</c:v>
                </c:pt>
                <c:pt idx="6">
                  <c:v>804.30699222300609</c:v>
                </c:pt>
                <c:pt idx="7">
                  <c:v>806.23121170766535</c:v>
                </c:pt>
                <c:pt idx="8">
                  <c:v>808.15543119232461</c:v>
                </c:pt>
                <c:pt idx="9">
                  <c:v>810.07965067698569</c:v>
                </c:pt>
                <c:pt idx="10">
                  <c:v>812.00387016164495</c:v>
                </c:pt>
                <c:pt idx="11">
                  <c:v>813.92808964630422</c:v>
                </c:pt>
                <c:pt idx="12">
                  <c:v>815.85230913096348</c:v>
                </c:pt>
                <c:pt idx="13">
                  <c:v>817.77652861562274</c:v>
                </c:pt>
                <c:pt idx="14">
                  <c:v>819.700748100282</c:v>
                </c:pt>
                <c:pt idx="15">
                  <c:v>821.62496758494126</c:v>
                </c:pt>
                <c:pt idx="16">
                  <c:v>823.54918706960052</c:v>
                </c:pt>
                <c:pt idx="17">
                  <c:v>825.4734065542616</c:v>
                </c:pt>
                <c:pt idx="18">
                  <c:v>827.39762603892086</c:v>
                </c:pt>
                <c:pt idx="19">
                  <c:v>829.32184552358012</c:v>
                </c:pt>
                <c:pt idx="20">
                  <c:v>831.24606500823938</c:v>
                </c:pt>
                <c:pt idx="21">
                  <c:v>833.17028449289865</c:v>
                </c:pt>
                <c:pt idx="22">
                  <c:v>835.09450397755791</c:v>
                </c:pt>
                <c:pt idx="23">
                  <c:v>837.01872346221717</c:v>
                </c:pt>
                <c:pt idx="24">
                  <c:v>838.94294294687643</c:v>
                </c:pt>
                <c:pt idx="25">
                  <c:v>840.86716243153751</c:v>
                </c:pt>
                <c:pt idx="26">
                  <c:v>842.79138191619677</c:v>
                </c:pt>
                <c:pt idx="27">
                  <c:v>844.71560140085603</c:v>
                </c:pt>
                <c:pt idx="28">
                  <c:v>846.63982088551529</c:v>
                </c:pt>
                <c:pt idx="29">
                  <c:v>848.56404037017455</c:v>
                </c:pt>
                <c:pt idx="30">
                  <c:v>850.48825985483381</c:v>
                </c:pt>
                <c:pt idx="31">
                  <c:v>852.41247933949307</c:v>
                </c:pt>
                <c:pt idx="32">
                  <c:v>854.33669882415234</c:v>
                </c:pt>
                <c:pt idx="33">
                  <c:v>856.26091830881342</c:v>
                </c:pt>
                <c:pt idx="34">
                  <c:v>858.18513779347268</c:v>
                </c:pt>
                <c:pt idx="35">
                  <c:v>860.10935727813194</c:v>
                </c:pt>
                <c:pt idx="36">
                  <c:v>862.0335767627912</c:v>
                </c:pt>
                <c:pt idx="37">
                  <c:v>863.95779624745046</c:v>
                </c:pt>
                <c:pt idx="38">
                  <c:v>865.88201573210972</c:v>
                </c:pt>
                <c:pt idx="39">
                  <c:v>867.80623521676898</c:v>
                </c:pt>
                <c:pt idx="40">
                  <c:v>869.73045470143006</c:v>
                </c:pt>
                <c:pt idx="41">
                  <c:v>871.65467418608932</c:v>
                </c:pt>
                <c:pt idx="42">
                  <c:v>873.57889367074858</c:v>
                </c:pt>
                <c:pt idx="43">
                  <c:v>875.50311315540785</c:v>
                </c:pt>
                <c:pt idx="44">
                  <c:v>877.42733264006711</c:v>
                </c:pt>
                <c:pt idx="45">
                  <c:v>879.35155212472637</c:v>
                </c:pt>
                <c:pt idx="46">
                  <c:v>881.27577160938563</c:v>
                </c:pt>
                <c:pt idx="47">
                  <c:v>883.19999109404489</c:v>
                </c:pt>
                <c:pt idx="48">
                  <c:v>885.12421057870597</c:v>
                </c:pt>
                <c:pt idx="49">
                  <c:v>887.04843006336523</c:v>
                </c:pt>
                <c:pt idx="50">
                  <c:v>888.97264954802449</c:v>
                </c:pt>
                <c:pt idx="51">
                  <c:v>890.89686903268375</c:v>
                </c:pt>
                <c:pt idx="52">
                  <c:v>892.82108851734301</c:v>
                </c:pt>
                <c:pt idx="53">
                  <c:v>894.74530800200228</c:v>
                </c:pt>
                <c:pt idx="54">
                  <c:v>896.66952748666154</c:v>
                </c:pt>
                <c:pt idx="55">
                  <c:v>898.5937469713208</c:v>
                </c:pt>
                <c:pt idx="56">
                  <c:v>900.51796645598188</c:v>
                </c:pt>
                <c:pt idx="57">
                  <c:v>902.44218594064114</c:v>
                </c:pt>
                <c:pt idx="58">
                  <c:v>904.3664054253004</c:v>
                </c:pt>
                <c:pt idx="59">
                  <c:v>906.29062490995966</c:v>
                </c:pt>
                <c:pt idx="60">
                  <c:v>908.21484439461892</c:v>
                </c:pt>
                <c:pt idx="61">
                  <c:v>910.13906387927818</c:v>
                </c:pt>
                <c:pt idx="62">
                  <c:v>912.06328336393744</c:v>
                </c:pt>
                <c:pt idx="63">
                  <c:v>913.98750284859671</c:v>
                </c:pt>
                <c:pt idx="64">
                  <c:v>915.91172233325779</c:v>
                </c:pt>
                <c:pt idx="65">
                  <c:v>917.83594181791705</c:v>
                </c:pt>
                <c:pt idx="66">
                  <c:v>919.76016130257631</c:v>
                </c:pt>
                <c:pt idx="67">
                  <c:v>921.68438078723557</c:v>
                </c:pt>
                <c:pt idx="68">
                  <c:v>923.60860027189483</c:v>
                </c:pt>
                <c:pt idx="69">
                  <c:v>925.53281975655409</c:v>
                </c:pt>
                <c:pt idx="70">
                  <c:v>927.45703924121335</c:v>
                </c:pt>
                <c:pt idx="71">
                  <c:v>929.38125872587261</c:v>
                </c:pt>
                <c:pt idx="72">
                  <c:v>931.30547821053369</c:v>
                </c:pt>
                <c:pt idx="73">
                  <c:v>933.22969769519295</c:v>
                </c:pt>
                <c:pt idx="74">
                  <c:v>935.15391717985221</c:v>
                </c:pt>
                <c:pt idx="75">
                  <c:v>937.07813666451148</c:v>
                </c:pt>
                <c:pt idx="76">
                  <c:v>939.00235614917074</c:v>
                </c:pt>
                <c:pt idx="77">
                  <c:v>940.92657563383</c:v>
                </c:pt>
                <c:pt idx="78">
                  <c:v>942.85079511848926</c:v>
                </c:pt>
                <c:pt idx="79">
                  <c:v>944.77501460314852</c:v>
                </c:pt>
                <c:pt idx="80">
                  <c:v>946.6992340878096</c:v>
                </c:pt>
                <c:pt idx="81">
                  <c:v>948.62345357246886</c:v>
                </c:pt>
                <c:pt idx="82">
                  <c:v>950.54767305712812</c:v>
                </c:pt>
                <c:pt idx="83">
                  <c:v>952.47189254178738</c:v>
                </c:pt>
                <c:pt idx="84">
                  <c:v>954.39611202644664</c:v>
                </c:pt>
                <c:pt idx="85">
                  <c:v>956.32033151110591</c:v>
                </c:pt>
                <c:pt idx="86">
                  <c:v>958.24455099576517</c:v>
                </c:pt>
                <c:pt idx="87">
                  <c:v>960.16877048042443</c:v>
                </c:pt>
                <c:pt idx="88">
                  <c:v>962.09298996508551</c:v>
                </c:pt>
                <c:pt idx="89">
                  <c:v>964.01720944974477</c:v>
                </c:pt>
                <c:pt idx="90">
                  <c:v>965.94142893440403</c:v>
                </c:pt>
                <c:pt idx="91">
                  <c:v>967.86564841906329</c:v>
                </c:pt>
                <c:pt idx="92">
                  <c:v>969.78986790372255</c:v>
                </c:pt>
                <c:pt idx="93">
                  <c:v>971.71408738838181</c:v>
                </c:pt>
                <c:pt idx="94">
                  <c:v>973.63830687304107</c:v>
                </c:pt>
                <c:pt idx="95">
                  <c:v>975.56252635770034</c:v>
                </c:pt>
                <c:pt idx="96">
                  <c:v>977.48674584236142</c:v>
                </c:pt>
                <c:pt idx="97">
                  <c:v>979.41096532702068</c:v>
                </c:pt>
                <c:pt idx="98">
                  <c:v>981.33518481167994</c:v>
                </c:pt>
                <c:pt idx="99">
                  <c:v>983.2594042963392</c:v>
                </c:pt>
                <c:pt idx="100">
                  <c:v>985.18362378099846</c:v>
                </c:pt>
                <c:pt idx="101">
                  <c:v>987.10784326565772</c:v>
                </c:pt>
                <c:pt idx="102">
                  <c:v>989.03206275031698</c:v>
                </c:pt>
                <c:pt idx="103">
                  <c:v>990.95628223497624</c:v>
                </c:pt>
                <c:pt idx="104">
                  <c:v>992.88050171963732</c:v>
                </c:pt>
                <c:pt idx="105">
                  <c:v>994.80472120429658</c:v>
                </c:pt>
                <c:pt idx="106">
                  <c:v>996.72894068895584</c:v>
                </c:pt>
                <c:pt idx="107">
                  <c:v>998.65316017361511</c:v>
                </c:pt>
                <c:pt idx="108">
                  <c:v>1000.5773796582744</c:v>
                </c:pt>
                <c:pt idx="109">
                  <c:v>1002.5015991429336</c:v>
                </c:pt>
                <c:pt idx="110">
                  <c:v>1004.4258186275929</c:v>
                </c:pt>
                <c:pt idx="111">
                  <c:v>1006.3500381122522</c:v>
                </c:pt>
                <c:pt idx="112">
                  <c:v>1008.2742575969132</c:v>
                </c:pt>
                <c:pt idx="113">
                  <c:v>1010.1984770815725</c:v>
                </c:pt>
                <c:pt idx="114">
                  <c:v>1012.1226965662318</c:v>
                </c:pt>
                <c:pt idx="115">
                  <c:v>1014.046916050891</c:v>
                </c:pt>
                <c:pt idx="116">
                  <c:v>1015.9711355355503</c:v>
                </c:pt>
                <c:pt idx="117">
                  <c:v>1017.8953550202095</c:v>
                </c:pt>
                <c:pt idx="118">
                  <c:v>1019.8195745048688</c:v>
                </c:pt>
                <c:pt idx="119">
                  <c:v>1021.7437939895299</c:v>
                </c:pt>
                <c:pt idx="120">
                  <c:v>1023.6680134741891</c:v>
                </c:pt>
                <c:pt idx="121">
                  <c:v>1025.5922329588484</c:v>
                </c:pt>
                <c:pt idx="122">
                  <c:v>1027.5164524435077</c:v>
                </c:pt>
                <c:pt idx="123">
                  <c:v>1029.4406719281669</c:v>
                </c:pt>
                <c:pt idx="124">
                  <c:v>1031.3648914128262</c:v>
                </c:pt>
                <c:pt idx="125">
                  <c:v>1033.2891108974854</c:v>
                </c:pt>
                <c:pt idx="126">
                  <c:v>1035.2133303821447</c:v>
                </c:pt>
                <c:pt idx="127">
                  <c:v>1037.1375498668058</c:v>
                </c:pt>
                <c:pt idx="128">
                  <c:v>1039.061769351465</c:v>
                </c:pt>
                <c:pt idx="129">
                  <c:v>1040.9859888361243</c:v>
                </c:pt>
                <c:pt idx="130">
                  <c:v>1042.9102083207836</c:v>
                </c:pt>
                <c:pt idx="131">
                  <c:v>1044.8344278054428</c:v>
                </c:pt>
                <c:pt idx="132">
                  <c:v>1046.7586472901021</c:v>
                </c:pt>
                <c:pt idx="133">
                  <c:v>1048.6828667747614</c:v>
                </c:pt>
                <c:pt idx="134">
                  <c:v>1050.6070862594206</c:v>
                </c:pt>
                <c:pt idx="135">
                  <c:v>1052.5313057440817</c:v>
                </c:pt>
                <c:pt idx="136">
                  <c:v>1054.455525228741</c:v>
                </c:pt>
                <c:pt idx="137">
                  <c:v>1056.3797447134002</c:v>
                </c:pt>
                <c:pt idx="138">
                  <c:v>1058.3039641980595</c:v>
                </c:pt>
                <c:pt idx="139">
                  <c:v>1060.2281836827187</c:v>
                </c:pt>
                <c:pt idx="140">
                  <c:v>1062.152403167378</c:v>
                </c:pt>
                <c:pt idx="141">
                  <c:v>1064.0766226520373</c:v>
                </c:pt>
                <c:pt idx="142">
                  <c:v>1066.0008421366965</c:v>
                </c:pt>
                <c:pt idx="143">
                  <c:v>1067.9250616213576</c:v>
                </c:pt>
                <c:pt idx="144">
                  <c:v>1069.8492811060169</c:v>
                </c:pt>
                <c:pt idx="145">
                  <c:v>1071.7735005906761</c:v>
                </c:pt>
                <c:pt idx="146">
                  <c:v>1073.6977200753354</c:v>
                </c:pt>
                <c:pt idx="147">
                  <c:v>1075.6219395599946</c:v>
                </c:pt>
                <c:pt idx="148">
                  <c:v>1077.5461590446539</c:v>
                </c:pt>
                <c:pt idx="149">
                  <c:v>1079.4703785293132</c:v>
                </c:pt>
                <c:pt idx="150">
                  <c:v>1081.3945980139724</c:v>
                </c:pt>
                <c:pt idx="151">
                  <c:v>1083.3188174986335</c:v>
                </c:pt>
                <c:pt idx="152">
                  <c:v>1085.2430369832928</c:v>
                </c:pt>
                <c:pt idx="153">
                  <c:v>1087.167256467952</c:v>
                </c:pt>
                <c:pt idx="154">
                  <c:v>1089.0914759526113</c:v>
                </c:pt>
                <c:pt idx="155">
                  <c:v>1091.0156954372706</c:v>
                </c:pt>
                <c:pt idx="156">
                  <c:v>1092.9399149219298</c:v>
                </c:pt>
                <c:pt idx="157">
                  <c:v>1094.8641344065891</c:v>
                </c:pt>
                <c:pt idx="158">
                  <c:v>1096.7883538912483</c:v>
                </c:pt>
                <c:pt idx="159">
                  <c:v>1098.7125733759094</c:v>
                </c:pt>
                <c:pt idx="160">
                  <c:v>1100.6367928605687</c:v>
                </c:pt>
                <c:pt idx="161">
                  <c:v>1102.5610123452279</c:v>
                </c:pt>
                <c:pt idx="162">
                  <c:v>1104.4852318298872</c:v>
                </c:pt>
                <c:pt idx="163">
                  <c:v>1106.4094513145465</c:v>
                </c:pt>
                <c:pt idx="164">
                  <c:v>1108.3336707992057</c:v>
                </c:pt>
                <c:pt idx="165">
                  <c:v>1110.257890283865</c:v>
                </c:pt>
                <c:pt idx="166">
                  <c:v>1112.1821097685242</c:v>
                </c:pt>
                <c:pt idx="167">
                  <c:v>1114.1063292531853</c:v>
                </c:pt>
                <c:pt idx="168">
                  <c:v>1116.0305487378446</c:v>
                </c:pt>
                <c:pt idx="169">
                  <c:v>1117.9547682225038</c:v>
                </c:pt>
                <c:pt idx="170">
                  <c:v>1119.8789877071631</c:v>
                </c:pt>
                <c:pt idx="171">
                  <c:v>1121.8032071918224</c:v>
                </c:pt>
                <c:pt idx="172">
                  <c:v>1123.7274266764816</c:v>
                </c:pt>
                <c:pt idx="173">
                  <c:v>1125.6516461611409</c:v>
                </c:pt>
                <c:pt idx="174">
                  <c:v>1127.5758656458001</c:v>
                </c:pt>
                <c:pt idx="175">
                  <c:v>1129.5000851304612</c:v>
                </c:pt>
                <c:pt idx="176">
                  <c:v>1131.4243046151205</c:v>
                </c:pt>
                <c:pt idx="177">
                  <c:v>1133.3485240997798</c:v>
                </c:pt>
                <c:pt idx="178">
                  <c:v>1135.272743584439</c:v>
                </c:pt>
                <c:pt idx="179">
                  <c:v>1137.1969630690983</c:v>
                </c:pt>
                <c:pt idx="180">
                  <c:v>1139.1211825537575</c:v>
                </c:pt>
                <c:pt idx="181">
                  <c:v>1141.0454020384168</c:v>
                </c:pt>
                <c:pt idx="182">
                  <c:v>1142.9696215230761</c:v>
                </c:pt>
                <c:pt idx="183">
                  <c:v>1144.8938410077371</c:v>
                </c:pt>
                <c:pt idx="184">
                  <c:v>1146.8180604923964</c:v>
                </c:pt>
                <c:pt idx="185">
                  <c:v>1148.7422799770557</c:v>
                </c:pt>
                <c:pt idx="186">
                  <c:v>1150.6664994617149</c:v>
                </c:pt>
                <c:pt idx="187">
                  <c:v>1152.5907189463742</c:v>
                </c:pt>
                <c:pt idx="188">
                  <c:v>1154.5149384310334</c:v>
                </c:pt>
                <c:pt idx="189">
                  <c:v>1156.4391579156927</c:v>
                </c:pt>
                <c:pt idx="190">
                  <c:v>1158.363377400352</c:v>
                </c:pt>
                <c:pt idx="191">
                  <c:v>1160.287596885013</c:v>
                </c:pt>
                <c:pt idx="192">
                  <c:v>1162.2118163696723</c:v>
                </c:pt>
                <c:pt idx="193">
                  <c:v>1164.1360358543316</c:v>
                </c:pt>
                <c:pt idx="194">
                  <c:v>1166.0602553389908</c:v>
                </c:pt>
                <c:pt idx="195">
                  <c:v>1167.9844748236501</c:v>
                </c:pt>
                <c:pt idx="196">
                  <c:v>1169.9086943083094</c:v>
                </c:pt>
                <c:pt idx="197">
                  <c:v>1171.8329137929686</c:v>
                </c:pt>
                <c:pt idx="198">
                  <c:v>1173.7571332776297</c:v>
                </c:pt>
                <c:pt idx="199">
                  <c:v>1175.681352762289</c:v>
                </c:pt>
                <c:pt idx="200">
                  <c:v>1177.6055722469482</c:v>
                </c:pt>
                <c:pt idx="201">
                  <c:v>1179.5297917316075</c:v>
                </c:pt>
                <c:pt idx="202">
                  <c:v>1181.4540112162667</c:v>
                </c:pt>
                <c:pt idx="203">
                  <c:v>1183.378230700926</c:v>
                </c:pt>
                <c:pt idx="204">
                  <c:v>1185.3024501855853</c:v>
                </c:pt>
                <c:pt idx="205">
                  <c:v>1187.2266696702445</c:v>
                </c:pt>
                <c:pt idx="206">
                  <c:v>1189.1508891549056</c:v>
                </c:pt>
                <c:pt idx="207">
                  <c:v>1191.0751086395649</c:v>
                </c:pt>
                <c:pt idx="208">
                  <c:v>1192.9993281242241</c:v>
                </c:pt>
                <c:pt idx="209">
                  <c:v>1194.9235476088834</c:v>
                </c:pt>
                <c:pt idx="210">
                  <c:v>1196.8477670935426</c:v>
                </c:pt>
                <c:pt idx="211">
                  <c:v>1198.7719865782019</c:v>
                </c:pt>
                <c:pt idx="212">
                  <c:v>1200.6962060628612</c:v>
                </c:pt>
                <c:pt idx="213">
                  <c:v>1202.6204255475204</c:v>
                </c:pt>
                <c:pt idx="214">
                  <c:v>1204.5446450321815</c:v>
                </c:pt>
                <c:pt idx="215">
                  <c:v>1206.4688645168408</c:v>
                </c:pt>
                <c:pt idx="216">
                  <c:v>1208.3930840015</c:v>
                </c:pt>
                <c:pt idx="217">
                  <c:v>1210.3173034861593</c:v>
                </c:pt>
                <c:pt idx="218">
                  <c:v>1212.2415229708186</c:v>
                </c:pt>
                <c:pt idx="219">
                  <c:v>1214.1657424554778</c:v>
                </c:pt>
                <c:pt idx="220">
                  <c:v>1216.0899619401371</c:v>
                </c:pt>
                <c:pt idx="221">
                  <c:v>1218.0141814247963</c:v>
                </c:pt>
                <c:pt idx="222">
                  <c:v>1219.9384009094574</c:v>
                </c:pt>
                <c:pt idx="223">
                  <c:v>1221.8626203941167</c:v>
                </c:pt>
                <c:pt idx="224">
                  <c:v>1223.7868398787759</c:v>
                </c:pt>
                <c:pt idx="225">
                  <c:v>1225.7110593634352</c:v>
                </c:pt>
                <c:pt idx="226">
                  <c:v>1227.6352788480945</c:v>
                </c:pt>
                <c:pt idx="227">
                  <c:v>1229.5594983327537</c:v>
                </c:pt>
                <c:pt idx="228">
                  <c:v>1231.483717817413</c:v>
                </c:pt>
                <c:pt idx="229">
                  <c:v>1233.4079373020722</c:v>
                </c:pt>
                <c:pt idx="230">
                  <c:v>1235.3321567867333</c:v>
                </c:pt>
                <c:pt idx="231">
                  <c:v>1237.2563762713926</c:v>
                </c:pt>
                <c:pt idx="232">
                  <c:v>1239.1805957560518</c:v>
                </c:pt>
                <c:pt idx="233">
                  <c:v>1241.1048152407111</c:v>
                </c:pt>
                <c:pt idx="234">
                  <c:v>1243.0290347253704</c:v>
                </c:pt>
                <c:pt idx="235">
                  <c:v>1244.9532542100296</c:v>
                </c:pt>
                <c:pt idx="236">
                  <c:v>1246.8774736946889</c:v>
                </c:pt>
                <c:pt idx="237">
                  <c:v>1248.8016931793481</c:v>
                </c:pt>
                <c:pt idx="238">
                  <c:v>1250.7259126640092</c:v>
                </c:pt>
                <c:pt idx="239">
                  <c:v>1252.6501321486685</c:v>
                </c:pt>
                <c:pt idx="240">
                  <c:v>1254.5743516333278</c:v>
                </c:pt>
                <c:pt idx="241">
                  <c:v>1256.498571117987</c:v>
                </c:pt>
                <c:pt idx="242">
                  <c:v>1258.4227906026463</c:v>
                </c:pt>
                <c:pt idx="243">
                  <c:v>1260.3470100873055</c:v>
                </c:pt>
                <c:pt idx="244">
                  <c:v>1262.2712295719648</c:v>
                </c:pt>
                <c:pt idx="245">
                  <c:v>1264.1954490566241</c:v>
                </c:pt>
                <c:pt idx="246">
                  <c:v>1266.1196685412851</c:v>
                </c:pt>
                <c:pt idx="247">
                  <c:v>1268.0438880259444</c:v>
                </c:pt>
                <c:pt idx="248">
                  <c:v>1269.9681075106037</c:v>
                </c:pt>
                <c:pt idx="249">
                  <c:v>1271.8923269952629</c:v>
                </c:pt>
                <c:pt idx="250">
                  <c:v>1273.8165464799222</c:v>
                </c:pt>
                <c:pt idx="251">
                  <c:v>1275.7407659645814</c:v>
                </c:pt>
                <c:pt idx="252">
                  <c:v>1277.6649854492407</c:v>
                </c:pt>
                <c:pt idx="253">
                  <c:v>1279.5892049339</c:v>
                </c:pt>
                <c:pt idx="254">
                  <c:v>1281.513424418561</c:v>
                </c:pt>
                <c:pt idx="255">
                  <c:v>1283.4376439032203</c:v>
                </c:pt>
                <c:pt idx="256">
                  <c:v>1285.3618633878796</c:v>
                </c:pt>
                <c:pt idx="257">
                  <c:v>1287.2860828725388</c:v>
                </c:pt>
                <c:pt idx="258">
                  <c:v>1289.2103023571981</c:v>
                </c:pt>
                <c:pt idx="259">
                  <c:v>1291.1345218418573</c:v>
                </c:pt>
                <c:pt idx="260">
                  <c:v>1293.0587413265166</c:v>
                </c:pt>
                <c:pt idx="261">
                  <c:v>1294.9829608111759</c:v>
                </c:pt>
                <c:pt idx="262">
                  <c:v>1296.907180295837</c:v>
                </c:pt>
                <c:pt idx="263">
                  <c:v>1298.8313997804962</c:v>
                </c:pt>
                <c:pt idx="264">
                  <c:v>1300.7556192651555</c:v>
                </c:pt>
                <c:pt idx="265">
                  <c:v>1302.6798387498147</c:v>
                </c:pt>
                <c:pt idx="266">
                  <c:v>1304.604058234474</c:v>
                </c:pt>
                <c:pt idx="267">
                  <c:v>1306.5282777191333</c:v>
                </c:pt>
                <c:pt idx="268">
                  <c:v>1308.4524972037925</c:v>
                </c:pt>
                <c:pt idx="269">
                  <c:v>1310.3767166884518</c:v>
                </c:pt>
                <c:pt idx="270">
                  <c:v>1312.3009361731129</c:v>
                </c:pt>
                <c:pt idx="271">
                  <c:v>1314.2251556577721</c:v>
                </c:pt>
                <c:pt idx="272">
                  <c:v>1316.1493751424314</c:v>
                </c:pt>
                <c:pt idx="273">
                  <c:v>1318.0735946270906</c:v>
                </c:pt>
                <c:pt idx="274">
                  <c:v>1319.9978141117499</c:v>
                </c:pt>
                <c:pt idx="275">
                  <c:v>1321.9220335964092</c:v>
                </c:pt>
                <c:pt idx="276">
                  <c:v>1323.8462530810684</c:v>
                </c:pt>
                <c:pt idx="277">
                  <c:v>1325.7704725657295</c:v>
                </c:pt>
                <c:pt idx="278">
                  <c:v>1327.6946920503888</c:v>
                </c:pt>
                <c:pt idx="279">
                  <c:v>1329.618911535048</c:v>
                </c:pt>
                <c:pt idx="280">
                  <c:v>1331.5431310197073</c:v>
                </c:pt>
                <c:pt idx="281">
                  <c:v>1333.4673505043666</c:v>
                </c:pt>
                <c:pt idx="282">
                  <c:v>1335.3915699890258</c:v>
                </c:pt>
                <c:pt idx="283">
                  <c:v>1337.3157894736851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2-44B3-A598-D024B4957C83}"/>
            </c:ext>
          </c:extLst>
        </c:ser>
        <c:ser>
          <c:idx val="2"/>
          <c:order val="2"/>
          <c:tx>
            <c:strRef>
              <c:f>'dat80'!$K$1</c:f>
              <c:strCache>
                <c:ptCount val="1"/>
                <c:pt idx="0">
                  <c:v>Quadratic Trend</c:v>
                </c:pt>
              </c:strCache>
            </c:strRef>
          </c:tx>
          <c:spPr>
            <a:ln w="28575" cap="rnd">
              <a:solidFill>
                <a:srgbClr val="FFFF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'dat80'!$K$2:$K$285</c:f>
              <c:numCache>
                <c:formatCode>General</c:formatCode>
                <c:ptCount val="284"/>
                <c:pt idx="0">
                  <c:v>816.62205751995498</c:v>
                </c:pt>
                <c:pt idx="1">
                  <c:v>818.04040317694307</c:v>
                </c:pt>
                <c:pt idx="2">
                  <c:v>819.46233659159043</c:v>
                </c:pt>
                <c:pt idx="3">
                  <c:v>820.88785776388249</c:v>
                </c:pt>
                <c:pt idx="4">
                  <c:v>822.31696669377561</c:v>
                </c:pt>
                <c:pt idx="5">
                  <c:v>823.7496633813571</c:v>
                </c:pt>
                <c:pt idx="6">
                  <c:v>825.18594782656874</c:v>
                </c:pt>
                <c:pt idx="7">
                  <c:v>826.62582002942509</c:v>
                </c:pt>
                <c:pt idx="8">
                  <c:v>828.06927998989704</c:v>
                </c:pt>
                <c:pt idx="9">
                  <c:v>829.51632770804281</c:v>
                </c:pt>
                <c:pt idx="10">
                  <c:v>830.96696318383329</c:v>
                </c:pt>
                <c:pt idx="11">
                  <c:v>832.42118641725392</c:v>
                </c:pt>
                <c:pt idx="12">
                  <c:v>833.87899740833382</c:v>
                </c:pt>
                <c:pt idx="13">
                  <c:v>835.34039615701477</c:v>
                </c:pt>
                <c:pt idx="14">
                  <c:v>836.80538266338408</c:v>
                </c:pt>
                <c:pt idx="15">
                  <c:v>838.27395692738355</c:v>
                </c:pt>
                <c:pt idx="16">
                  <c:v>839.74611894902773</c:v>
                </c:pt>
                <c:pt idx="17">
                  <c:v>841.22186872828752</c:v>
                </c:pt>
                <c:pt idx="18">
                  <c:v>842.70120626522112</c:v>
                </c:pt>
                <c:pt idx="19">
                  <c:v>844.18413155979943</c:v>
                </c:pt>
                <c:pt idx="20">
                  <c:v>845.67064461200789</c:v>
                </c:pt>
                <c:pt idx="21">
                  <c:v>847.16074542187562</c:v>
                </c:pt>
                <c:pt idx="22">
                  <c:v>848.6544339893444</c:v>
                </c:pt>
                <c:pt idx="23">
                  <c:v>850.15171031448699</c:v>
                </c:pt>
                <c:pt idx="24">
                  <c:v>851.65257439728884</c:v>
                </c:pt>
                <c:pt idx="25">
                  <c:v>853.15702623772086</c:v>
                </c:pt>
                <c:pt idx="26">
                  <c:v>854.66506583576847</c:v>
                </c:pt>
                <c:pt idx="27">
                  <c:v>856.17669319147535</c:v>
                </c:pt>
                <c:pt idx="28">
                  <c:v>857.69190830484149</c:v>
                </c:pt>
                <c:pt idx="29">
                  <c:v>859.21071117585234</c:v>
                </c:pt>
                <c:pt idx="30">
                  <c:v>860.73310180449334</c:v>
                </c:pt>
                <c:pt idx="31">
                  <c:v>862.25908019076451</c:v>
                </c:pt>
                <c:pt idx="32">
                  <c:v>863.78864633469493</c:v>
                </c:pt>
                <c:pt idx="33">
                  <c:v>865.32180023627006</c:v>
                </c:pt>
                <c:pt idx="34">
                  <c:v>866.85854189548991</c:v>
                </c:pt>
                <c:pt idx="35">
                  <c:v>868.39887131232535</c:v>
                </c:pt>
                <c:pt idx="36">
                  <c:v>869.94278848683462</c:v>
                </c:pt>
                <c:pt idx="37">
                  <c:v>871.49029341897403</c:v>
                </c:pt>
                <c:pt idx="38">
                  <c:v>873.04138610877271</c:v>
                </c:pt>
                <c:pt idx="39">
                  <c:v>874.59606655620155</c:v>
                </c:pt>
                <c:pt idx="40">
                  <c:v>876.15433476126054</c:v>
                </c:pt>
                <c:pt idx="41">
                  <c:v>877.7161907239788</c:v>
                </c:pt>
                <c:pt idx="42">
                  <c:v>879.28163444434176</c:v>
                </c:pt>
                <c:pt idx="43">
                  <c:v>880.85066592234944</c:v>
                </c:pt>
                <c:pt idx="44">
                  <c:v>882.42328515797271</c:v>
                </c:pt>
                <c:pt idx="45">
                  <c:v>883.99949215125525</c:v>
                </c:pt>
                <c:pt idx="46">
                  <c:v>885.57928690219705</c:v>
                </c:pt>
                <c:pt idx="47">
                  <c:v>887.16266941076901</c:v>
                </c:pt>
                <c:pt idx="48">
                  <c:v>888.74963967700023</c:v>
                </c:pt>
                <c:pt idx="49">
                  <c:v>890.3401977008325</c:v>
                </c:pt>
                <c:pt idx="50">
                  <c:v>891.93434348233859</c:v>
                </c:pt>
                <c:pt idx="51">
                  <c:v>893.53207702148939</c:v>
                </c:pt>
                <c:pt idx="52">
                  <c:v>895.13339831828489</c:v>
                </c:pt>
                <c:pt idx="53">
                  <c:v>896.738307372696</c:v>
                </c:pt>
                <c:pt idx="54">
                  <c:v>898.34680418478092</c:v>
                </c:pt>
                <c:pt idx="55">
                  <c:v>899.958888754496</c:v>
                </c:pt>
                <c:pt idx="56">
                  <c:v>901.57456108187034</c:v>
                </c:pt>
                <c:pt idx="57">
                  <c:v>903.19382116687484</c:v>
                </c:pt>
                <c:pt idx="58">
                  <c:v>904.81666900949494</c:v>
                </c:pt>
                <c:pt idx="59">
                  <c:v>906.44310460978886</c:v>
                </c:pt>
                <c:pt idx="60">
                  <c:v>908.07312796772749</c:v>
                </c:pt>
                <c:pt idx="61">
                  <c:v>909.70673908331082</c:v>
                </c:pt>
                <c:pt idx="62">
                  <c:v>911.34393795650976</c:v>
                </c:pt>
                <c:pt idx="63">
                  <c:v>912.98472458738252</c:v>
                </c:pt>
                <c:pt idx="64">
                  <c:v>914.62909897588543</c:v>
                </c:pt>
                <c:pt idx="65">
                  <c:v>916.27706112203305</c:v>
                </c:pt>
                <c:pt idx="66">
                  <c:v>917.92861102583993</c:v>
                </c:pt>
                <c:pt idx="67">
                  <c:v>919.58374868724786</c:v>
                </c:pt>
                <c:pt idx="68">
                  <c:v>921.24247410632961</c:v>
                </c:pt>
                <c:pt idx="69">
                  <c:v>922.90478728305607</c:v>
                </c:pt>
                <c:pt idx="70">
                  <c:v>924.57068821742723</c:v>
                </c:pt>
                <c:pt idx="71">
                  <c:v>926.24017690939945</c:v>
                </c:pt>
                <c:pt idx="72">
                  <c:v>927.91325335906004</c:v>
                </c:pt>
                <c:pt idx="73">
                  <c:v>929.58991756635078</c:v>
                </c:pt>
                <c:pt idx="74">
                  <c:v>931.27016953130078</c:v>
                </c:pt>
                <c:pt idx="75">
                  <c:v>932.95400925388094</c:v>
                </c:pt>
                <c:pt idx="76">
                  <c:v>934.64143673407671</c:v>
                </c:pt>
                <c:pt idx="77">
                  <c:v>936.33245197194628</c:v>
                </c:pt>
                <c:pt idx="78">
                  <c:v>938.02705496746057</c:v>
                </c:pt>
                <c:pt idx="79">
                  <c:v>939.72524572061957</c:v>
                </c:pt>
                <c:pt idx="80">
                  <c:v>941.42702423139417</c:v>
                </c:pt>
                <c:pt idx="81">
                  <c:v>943.13239049982803</c:v>
                </c:pt>
                <c:pt idx="82">
                  <c:v>944.84134452590661</c:v>
                </c:pt>
                <c:pt idx="83">
                  <c:v>946.55388630964444</c:v>
                </c:pt>
                <c:pt idx="84">
                  <c:v>948.27001585101243</c:v>
                </c:pt>
                <c:pt idx="85">
                  <c:v>949.98973314999603</c:v>
                </c:pt>
                <c:pt idx="86">
                  <c:v>951.71303820665344</c:v>
                </c:pt>
                <c:pt idx="87">
                  <c:v>953.43993102095556</c:v>
                </c:pt>
                <c:pt idx="88">
                  <c:v>955.17041159290238</c:v>
                </c:pt>
                <c:pt idx="89">
                  <c:v>956.90447992245026</c:v>
                </c:pt>
                <c:pt idx="90">
                  <c:v>958.64213600968651</c:v>
                </c:pt>
                <c:pt idx="91">
                  <c:v>960.38337985455291</c:v>
                </c:pt>
                <c:pt idx="92">
                  <c:v>962.12821145706403</c:v>
                </c:pt>
                <c:pt idx="93">
                  <c:v>963.8766308172344</c:v>
                </c:pt>
                <c:pt idx="94">
                  <c:v>965.62863793500583</c:v>
                </c:pt>
                <c:pt idx="95">
                  <c:v>967.38423281043652</c:v>
                </c:pt>
                <c:pt idx="96">
                  <c:v>969.14341544352646</c:v>
                </c:pt>
                <c:pt idx="97">
                  <c:v>970.90618583426112</c:v>
                </c:pt>
                <c:pt idx="98">
                  <c:v>972.67254398261139</c:v>
                </c:pt>
                <c:pt idx="99">
                  <c:v>974.44248988862091</c:v>
                </c:pt>
                <c:pt idx="100">
                  <c:v>976.21602355227515</c:v>
                </c:pt>
                <c:pt idx="101">
                  <c:v>977.99314497358864</c:v>
                </c:pt>
                <c:pt idx="102">
                  <c:v>979.77385415253229</c:v>
                </c:pt>
                <c:pt idx="103">
                  <c:v>981.55815108909155</c:v>
                </c:pt>
                <c:pt idx="104">
                  <c:v>983.34603578332462</c:v>
                </c:pt>
                <c:pt idx="105">
                  <c:v>985.13750823518785</c:v>
                </c:pt>
                <c:pt idx="106">
                  <c:v>986.93256844471034</c:v>
                </c:pt>
                <c:pt idx="107">
                  <c:v>988.73121641183388</c:v>
                </c:pt>
                <c:pt idx="108">
                  <c:v>990.53345213664579</c:v>
                </c:pt>
                <c:pt idx="109">
                  <c:v>992.33927561908786</c:v>
                </c:pt>
                <c:pt idx="110">
                  <c:v>994.14868685917463</c:v>
                </c:pt>
                <c:pt idx="111">
                  <c:v>995.96168585690612</c:v>
                </c:pt>
                <c:pt idx="112">
                  <c:v>997.7782726122532</c:v>
                </c:pt>
                <c:pt idx="113">
                  <c:v>999.59844712527411</c:v>
                </c:pt>
                <c:pt idx="114">
                  <c:v>1001.4222093959397</c:v>
                </c:pt>
                <c:pt idx="115">
                  <c:v>1003.2495594242355</c:v>
                </c:pt>
                <c:pt idx="116">
                  <c:v>1005.0804972101905</c:v>
                </c:pt>
                <c:pt idx="117">
                  <c:v>1006.9150227537466</c:v>
                </c:pt>
                <c:pt idx="118">
                  <c:v>1008.753136054991</c:v>
                </c:pt>
                <c:pt idx="119">
                  <c:v>1010.5948371138657</c:v>
                </c:pt>
                <c:pt idx="120">
                  <c:v>1012.440125930385</c:v>
                </c:pt>
                <c:pt idx="121">
                  <c:v>1014.2890025045199</c:v>
                </c:pt>
                <c:pt idx="122">
                  <c:v>1016.1414668363141</c:v>
                </c:pt>
                <c:pt idx="123">
                  <c:v>1017.9975189257675</c:v>
                </c:pt>
                <c:pt idx="124">
                  <c:v>1019.8571587728657</c:v>
                </c:pt>
                <c:pt idx="125">
                  <c:v>1021.720386377594</c:v>
                </c:pt>
                <c:pt idx="126">
                  <c:v>1023.5872017399379</c:v>
                </c:pt>
                <c:pt idx="127">
                  <c:v>1025.4576048599702</c:v>
                </c:pt>
                <c:pt idx="128">
                  <c:v>1027.3315957376326</c:v>
                </c:pt>
                <c:pt idx="129">
                  <c:v>1029.2091743729397</c:v>
                </c:pt>
                <c:pt idx="130">
                  <c:v>1031.0903407658479</c:v>
                </c:pt>
                <c:pt idx="131">
                  <c:v>1032.9750949164445</c:v>
                </c:pt>
                <c:pt idx="132">
                  <c:v>1034.8634368246858</c:v>
                </c:pt>
                <c:pt idx="133">
                  <c:v>1036.7553664905572</c:v>
                </c:pt>
                <c:pt idx="134">
                  <c:v>1038.6508839140879</c:v>
                </c:pt>
                <c:pt idx="135">
                  <c:v>1040.5499890952196</c:v>
                </c:pt>
                <c:pt idx="136">
                  <c:v>1042.4526820340252</c:v>
                </c:pt>
                <c:pt idx="137">
                  <c:v>1044.3589627304755</c:v>
                </c:pt>
                <c:pt idx="138">
                  <c:v>1046.2688311845704</c:v>
                </c:pt>
                <c:pt idx="139">
                  <c:v>1048.182287396281</c:v>
                </c:pt>
                <c:pt idx="140">
                  <c:v>1050.0993313656654</c:v>
                </c:pt>
                <c:pt idx="141">
                  <c:v>1052.01996309268</c:v>
                </c:pt>
                <c:pt idx="142">
                  <c:v>1053.9441825773538</c:v>
                </c:pt>
                <c:pt idx="143">
                  <c:v>1055.8719898196578</c:v>
                </c:pt>
                <c:pt idx="144">
                  <c:v>1057.8033848195773</c:v>
                </c:pt>
                <c:pt idx="145">
                  <c:v>1059.7383675771707</c:v>
                </c:pt>
                <c:pt idx="146">
                  <c:v>1061.6769380924088</c:v>
                </c:pt>
                <c:pt idx="147">
                  <c:v>1063.6190963652916</c:v>
                </c:pt>
                <c:pt idx="148">
                  <c:v>1065.56484239579</c:v>
                </c:pt>
                <c:pt idx="149">
                  <c:v>1067.5141761839623</c:v>
                </c:pt>
                <c:pt idx="150">
                  <c:v>1069.4670977297646</c:v>
                </c:pt>
                <c:pt idx="151">
                  <c:v>1071.4236070332263</c:v>
                </c:pt>
                <c:pt idx="152">
                  <c:v>1073.3837040943181</c:v>
                </c:pt>
                <c:pt idx="153">
                  <c:v>1075.3473889130255</c:v>
                </c:pt>
                <c:pt idx="154">
                  <c:v>1077.3146614894067</c:v>
                </c:pt>
                <c:pt idx="155">
                  <c:v>1079.2855218234326</c:v>
                </c:pt>
                <c:pt idx="156">
                  <c:v>1081.2599699151033</c:v>
                </c:pt>
                <c:pt idx="157">
                  <c:v>1083.2380057643895</c:v>
                </c:pt>
                <c:pt idx="158">
                  <c:v>1085.219629371335</c:v>
                </c:pt>
                <c:pt idx="159">
                  <c:v>1087.2048407359398</c:v>
                </c:pt>
                <c:pt idx="160">
                  <c:v>1089.1936398581747</c:v>
                </c:pt>
                <c:pt idx="161">
                  <c:v>1091.1860267380544</c:v>
                </c:pt>
                <c:pt idx="162">
                  <c:v>1093.1820013755496</c:v>
                </c:pt>
                <c:pt idx="163">
                  <c:v>1095.1815637707186</c:v>
                </c:pt>
                <c:pt idx="164">
                  <c:v>1097.1847139235324</c:v>
                </c:pt>
                <c:pt idx="165">
                  <c:v>1099.1914518339909</c:v>
                </c:pt>
                <c:pt idx="166">
                  <c:v>1101.2017775020649</c:v>
                </c:pt>
                <c:pt idx="167">
                  <c:v>1103.2156909277983</c:v>
                </c:pt>
                <c:pt idx="168">
                  <c:v>1105.2331921111909</c:v>
                </c:pt>
                <c:pt idx="169">
                  <c:v>1107.2542810522136</c:v>
                </c:pt>
                <c:pt idx="170">
                  <c:v>1109.2789577508811</c:v>
                </c:pt>
                <c:pt idx="171">
                  <c:v>1111.3072222071642</c:v>
                </c:pt>
                <c:pt idx="172">
                  <c:v>1113.339074421121</c:v>
                </c:pt>
                <c:pt idx="173">
                  <c:v>1115.3745143927226</c:v>
                </c:pt>
                <c:pt idx="174">
                  <c:v>1117.4135421219689</c:v>
                </c:pt>
                <c:pt idx="175">
                  <c:v>1119.4561576088308</c:v>
                </c:pt>
                <c:pt idx="176">
                  <c:v>1121.502360853352</c:v>
                </c:pt>
                <c:pt idx="177">
                  <c:v>1123.5521518555179</c:v>
                </c:pt>
                <c:pt idx="178">
                  <c:v>1125.605530615343</c:v>
                </c:pt>
                <c:pt idx="179">
                  <c:v>1127.6624971327983</c:v>
                </c:pt>
                <c:pt idx="180">
                  <c:v>1129.7230514078692</c:v>
                </c:pt>
                <c:pt idx="181">
                  <c:v>1131.7871934406139</c:v>
                </c:pt>
                <c:pt idx="182">
                  <c:v>1133.8549232310033</c:v>
                </c:pt>
                <c:pt idx="183">
                  <c:v>1135.9262407790229</c:v>
                </c:pt>
                <c:pt idx="184">
                  <c:v>1138.0011460846727</c:v>
                </c:pt>
                <c:pt idx="185">
                  <c:v>1140.0796391479817</c:v>
                </c:pt>
                <c:pt idx="186">
                  <c:v>1142.1617199689499</c:v>
                </c:pt>
                <c:pt idx="187">
                  <c:v>1144.2473885475483</c:v>
                </c:pt>
                <c:pt idx="188">
                  <c:v>1146.3366448837915</c:v>
                </c:pt>
                <c:pt idx="189">
                  <c:v>1148.4294889776502</c:v>
                </c:pt>
                <c:pt idx="190">
                  <c:v>1150.5259208291827</c:v>
                </c:pt>
                <c:pt idx="191">
                  <c:v>1152.62594043836</c:v>
                </c:pt>
                <c:pt idx="192">
                  <c:v>1154.7295478051674</c:v>
                </c:pt>
                <c:pt idx="193">
                  <c:v>1156.836742929605</c:v>
                </c:pt>
                <c:pt idx="194">
                  <c:v>1158.9475258117018</c:v>
                </c:pt>
                <c:pt idx="195">
                  <c:v>1161.0618964514579</c:v>
                </c:pt>
                <c:pt idx="196">
                  <c:v>1163.1798548488441</c:v>
                </c:pt>
                <c:pt idx="197">
                  <c:v>1165.3014010038751</c:v>
                </c:pt>
                <c:pt idx="198">
                  <c:v>1167.4265349165216</c:v>
                </c:pt>
                <c:pt idx="199">
                  <c:v>1169.555256586842</c:v>
                </c:pt>
                <c:pt idx="200">
                  <c:v>1171.6875660147925</c:v>
                </c:pt>
                <c:pt idx="201">
                  <c:v>1173.8234632004023</c:v>
                </c:pt>
                <c:pt idx="202">
                  <c:v>1175.9629481436277</c:v>
                </c:pt>
                <c:pt idx="203">
                  <c:v>1178.1060208445124</c:v>
                </c:pt>
                <c:pt idx="204">
                  <c:v>1180.2526813030418</c:v>
                </c:pt>
                <c:pt idx="205">
                  <c:v>1182.4029295192158</c:v>
                </c:pt>
                <c:pt idx="206">
                  <c:v>1184.5567654930346</c:v>
                </c:pt>
                <c:pt idx="207">
                  <c:v>1186.714189224469</c:v>
                </c:pt>
                <c:pt idx="208">
                  <c:v>1188.8752007135772</c:v>
                </c:pt>
                <c:pt idx="209">
                  <c:v>1191.0397999603301</c:v>
                </c:pt>
                <c:pt idx="210">
                  <c:v>1193.2079869647132</c:v>
                </c:pt>
                <c:pt idx="211">
                  <c:v>1195.3797617267264</c:v>
                </c:pt>
                <c:pt idx="212">
                  <c:v>1197.5551242463989</c:v>
                </c:pt>
                <c:pt idx="213">
                  <c:v>1199.7340745237161</c:v>
                </c:pt>
                <c:pt idx="214">
                  <c:v>1201.916612558678</c:v>
                </c:pt>
                <c:pt idx="215">
                  <c:v>1204.1027383512846</c:v>
                </c:pt>
                <c:pt idx="216">
                  <c:v>1206.2924519015069</c:v>
                </c:pt>
                <c:pt idx="217">
                  <c:v>1208.4857532094029</c:v>
                </c:pt>
                <c:pt idx="218">
                  <c:v>1210.6826422749436</c:v>
                </c:pt>
                <c:pt idx="219">
                  <c:v>1212.8831190981145</c:v>
                </c:pt>
                <c:pt idx="220">
                  <c:v>1215.0871836789011</c:v>
                </c:pt>
                <c:pt idx="221">
                  <c:v>1217.2948360173759</c:v>
                </c:pt>
                <c:pt idx="222">
                  <c:v>1219.506076113481</c:v>
                </c:pt>
                <c:pt idx="223">
                  <c:v>1221.7209039672307</c:v>
                </c:pt>
                <c:pt idx="224">
                  <c:v>1223.9393195786251</c:v>
                </c:pt>
                <c:pt idx="225">
                  <c:v>1226.1613229476352</c:v>
                </c:pt>
                <c:pt idx="226">
                  <c:v>1228.3869140743045</c:v>
                </c:pt>
                <c:pt idx="227">
                  <c:v>1230.6160929586331</c:v>
                </c:pt>
                <c:pt idx="228">
                  <c:v>1232.8488596005918</c:v>
                </c:pt>
                <c:pt idx="229">
                  <c:v>1235.0852140001807</c:v>
                </c:pt>
                <c:pt idx="230">
                  <c:v>1237.3251561574289</c:v>
                </c:pt>
                <c:pt idx="231">
                  <c:v>1239.5686860723217</c:v>
                </c:pt>
                <c:pt idx="232">
                  <c:v>1241.8158037448593</c:v>
                </c:pt>
                <c:pt idx="233">
                  <c:v>1244.0665091750416</c:v>
                </c:pt>
                <c:pt idx="234">
                  <c:v>1246.3208023628395</c:v>
                </c:pt>
                <c:pt idx="235">
                  <c:v>1248.5786833083112</c:v>
                </c:pt>
                <c:pt idx="236">
                  <c:v>1250.840152011413</c:v>
                </c:pt>
                <c:pt idx="237">
                  <c:v>1253.1052084721596</c:v>
                </c:pt>
                <c:pt idx="238">
                  <c:v>1255.3738526905363</c:v>
                </c:pt>
                <c:pt idx="239">
                  <c:v>1257.6460846665723</c:v>
                </c:pt>
                <c:pt idx="240">
                  <c:v>1259.921904400253</c:v>
                </c:pt>
                <c:pt idx="241">
                  <c:v>1262.2013118915784</c:v>
                </c:pt>
                <c:pt idx="242">
                  <c:v>1264.4843071405485</c:v>
                </c:pt>
                <c:pt idx="243">
                  <c:v>1266.7708901471342</c:v>
                </c:pt>
                <c:pt idx="244">
                  <c:v>1269.0610609113792</c:v>
                </c:pt>
                <c:pt idx="245">
                  <c:v>1271.3548194332834</c:v>
                </c:pt>
                <c:pt idx="246">
                  <c:v>1273.6521657128178</c:v>
                </c:pt>
                <c:pt idx="247">
                  <c:v>1275.9530997499678</c:v>
                </c:pt>
                <c:pt idx="248">
                  <c:v>1278.2576215447916</c:v>
                </c:pt>
                <c:pt idx="249">
                  <c:v>1280.5657310972601</c:v>
                </c:pt>
                <c:pt idx="250">
                  <c:v>1282.8774284073734</c:v>
                </c:pt>
                <c:pt idx="251">
                  <c:v>1285.1927134751313</c:v>
                </c:pt>
                <c:pt idx="252">
                  <c:v>1287.5115863005049</c:v>
                </c:pt>
                <c:pt idx="253">
                  <c:v>1289.8340468835377</c:v>
                </c:pt>
                <c:pt idx="254">
                  <c:v>1292.1600952242297</c:v>
                </c:pt>
                <c:pt idx="255">
                  <c:v>1294.489731322552</c:v>
                </c:pt>
                <c:pt idx="256">
                  <c:v>1296.8229551785189</c:v>
                </c:pt>
                <c:pt idx="257">
                  <c:v>1299.159766792116</c:v>
                </c:pt>
                <c:pt idx="258">
                  <c:v>1301.5001661633723</c:v>
                </c:pt>
                <c:pt idx="259">
                  <c:v>1303.8441532922589</c:v>
                </c:pt>
                <c:pt idx="260">
                  <c:v>1306.1917281788046</c:v>
                </c:pt>
                <c:pt idx="261">
                  <c:v>1308.542890822966</c:v>
                </c:pt>
                <c:pt idx="262">
                  <c:v>1310.8976412247866</c:v>
                </c:pt>
                <c:pt idx="263">
                  <c:v>1313.2559793842665</c:v>
                </c:pt>
                <c:pt idx="264">
                  <c:v>1315.6179053013766</c:v>
                </c:pt>
                <c:pt idx="265">
                  <c:v>1317.9834189761314</c:v>
                </c:pt>
                <c:pt idx="266">
                  <c:v>1320.3525204085017</c:v>
                </c:pt>
                <c:pt idx="267">
                  <c:v>1322.7252095985459</c:v>
                </c:pt>
                <c:pt idx="268">
                  <c:v>1325.1014865462348</c:v>
                </c:pt>
                <c:pt idx="269">
                  <c:v>1327.4813512515684</c:v>
                </c:pt>
                <c:pt idx="270">
                  <c:v>1329.8648037145031</c:v>
                </c:pt>
                <c:pt idx="271">
                  <c:v>1332.2518439351261</c:v>
                </c:pt>
                <c:pt idx="272">
                  <c:v>1334.6424719133793</c:v>
                </c:pt>
                <c:pt idx="273">
                  <c:v>1337.0366876492772</c:v>
                </c:pt>
                <c:pt idx="274">
                  <c:v>1339.4344911428198</c:v>
                </c:pt>
                <c:pt idx="275">
                  <c:v>1341.835882393978</c:v>
                </c:pt>
                <c:pt idx="276">
                  <c:v>1344.24086140281</c:v>
                </c:pt>
                <c:pt idx="277">
                  <c:v>1346.6494281692867</c:v>
                </c:pt>
                <c:pt idx="278">
                  <c:v>1349.0615826934081</c:v>
                </c:pt>
                <c:pt idx="279">
                  <c:v>1351.4773249751306</c:v>
                </c:pt>
                <c:pt idx="280">
                  <c:v>1353.8966550145415</c:v>
                </c:pt>
                <c:pt idx="281">
                  <c:v>1356.3195728115825</c:v>
                </c:pt>
                <c:pt idx="282">
                  <c:v>1358.7460783662682</c:v>
                </c:pt>
                <c:pt idx="283">
                  <c:v>1361.1761716785986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32-44B3-A598-D024B495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319312"/>
        <c:axId val="625315568"/>
      </c:lineChart>
      <c:dateAx>
        <c:axId val="62531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5568"/>
        <c:crosses val="autoZero"/>
        <c:auto val="1"/>
        <c:lblOffset val="100"/>
        <c:baseTimeUnit val="months"/>
        <c:majorUnit val="40"/>
        <c:majorTimeUnit val="months"/>
      </c:dateAx>
      <c:valAx>
        <c:axId val="625315568"/>
        <c:scaling>
          <c:orientation val="minMax"/>
          <c:max val="143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Expenditure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0" i="0" baseline="0">
                <a:effectLst/>
              </a:rPr>
              <a:t>Comparison Between Ln(Expenditure), Linear Trend Ln, and Quadratic Trend Ln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'dat80'!$G$1</c:f>
              <c:strCache>
                <c:ptCount val="1"/>
                <c:pt idx="0">
                  <c:v>LOG(Expenditure 80)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'dat80'!$G$2:$G$285</c:f>
              <c:numCache>
                <c:formatCode>General</c:formatCode>
                <c:ptCount val="284"/>
                <c:pt idx="0">
                  <c:v>6.7381524945959574</c:v>
                </c:pt>
                <c:pt idx="1">
                  <c:v>6.6833609457662746</c:v>
                </c:pt>
                <c:pt idx="2">
                  <c:v>6.7141705299094721</c:v>
                </c:pt>
                <c:pt idx="3">
                  <c:v>6.6644090203504076</c:v>
                </c:pt>
                <c:pt idx="4">
                  <c:v>6.752270376141742</c:v>
                </c:pt>
                <c:pt idx="5">
                  <c:v>6.6970342476664841</c:v>
                </c:pt>
                <c:pt idx="6">
                  <c:v>6.7286286130847017</c:v>
                </c:pt>
                <c:pt idx="7">
                  <c:v>6.6682282484174031</c:v>
                </c:pt>
                <c:pt idx="8">
                  <c:v>6.7638849085624351</c:v>
                </c:pt>
                <c:pt idx="9">
                  <c:v>6.7117403950561796</c:v>
                </c:pt>
                <c:pt idx="10">
                  <c:v>6.7357800142423265</c:v>
                </c:pt>
                <c:pt idx="11">
                  <c:v>6.6833609457662746</c:v>
                </c:pt>
                <c:pt idx="12">
                  <c:v>6.7673431252653922</c:v>
                </c:pt>
                <c:pt idx="13">
                  <c:v>6.7105231094524278</c:v>
                </c:pt>
                <c:pt idx="14">
                  <c:v>6.7417006946520548</c:v>
                </c:pt>
                <c:pt idx="15">
                  <c:v>6.6808546787902152</c:v>
                </c:pt>
                <c:pt idx="16">
                  <c:v>6.7696419768525029</c:v>
                </c:pt>
                <c:pt idx="17">
                  <c:v>6.7178046950236912</c:v>
                </c:pt>
                <c:pt idx="18">
                  <c:v>6.7417006946520548</c:v>
                </c:pt>
                <c:pt idx="19">
                  <c:v>6.6933236682699491</c:v>
                </c:pt>
                <c:pt idx="20">
                  <c:v>6.7810576259361799</c:v>
                </c:pt>
                <c:pt idx="21">
                  <c:v>6.7334018918373593</c:v>
                </c:pt>
                <c:pt idx="22">
                  <c:v>6.7557689219842549</c:v>
                </c:pt>
                <c:pt idx="23">
                  <c:v>6.7093043402582984</c:v>
                </c:pt>
                <c:pt idx="24">
                  <c:v>6.7957057751735137</c:v>
                </c:pt>
                <c:pt idx="25">
                  <c:v>6.739336627357174</c:v>
                </c:pt>
                <c:pt idx="26">
                  <c:v>6.7546040994879624</c:v>
                </c:pt>
                <c:pt idx="27">
                  <c:v>6.7117403950561796</c:v>
                </c:pt>
                <c:pt idx="28">
                  <c:v>6.7945865808764987</c:v>
                </c:pt>
                <c:pt idx="29">
                  <c:v>6.739336627357174</c:v>
                </c:pt>
                <c:pt idx="30">
                  <c:v>6.7661917146603505</c:v>
                </c:pt>
                <c:pt idx="31">
                  <c:v>6.7226297948554485</c:v>
                </c:pt>
                <c:pt idx="32">
                  <c:v>6.8001700683021999</c:v>
                </c:pt>
                <c:pt idx="33">
                  <c:v>6.7475865268293154</c:v>
                </c:pt>
                <c:pt idx="34">
                  <c:v>6.7867169506050811</c:v>
                </c:pt>
                <c:pt idx="35">
                  <c:v>6.7190131543852596</c:v>
                </c:pt>
                <c:pt idx="36">
                  <c:v>6.8101424501151362</c:v>
                </c:pt>
                <c:pt idx="37">
                  <c:v>6.7440591863113477</c:v>
                </c:pt>
                <c:pt idx="38">
                  <c:v>6.7912214627261855</c:v>
                </c:pt>
                <c:pt idx="39">
                  <c:v>6.7405193596062229</c:v>
                </c:pt>
                <c:pt idx="40">
                  <c:v>6.8145428972599582</c:v>
                </c:pt>
                <c:pt idx="41">
                  <c:v>6.7475865268293154</c:v>
                </c:pt>
                <c:pt idx="42">
                  <c:v>6.7855876450079293</c:v>
                </c:pt>
                <c:pt idx="43">
                  <c:v>6.7428806357919031</c:v>
                </c:pt>
                <c:pt idx="44">
                  <c:v>6.8221973906204907</c:v>
                </c:pt>
                <c:pt idx="45">
                  <c:v>6.7650389767805414</c:v>
                </c:pt>
                <c:pt idx="46">
                  <c:v>6.7878449823095792</c:v>
                </c:pt>
                <c:pt idx="47">
                  <c:v>6.7475865268293154</c:v>
                </c:pt>
                <c:pt idx="48">
                  <c:v>6.828712071641684</c:v>
                </c:pt>
                <c:pt idx="49">
                  <c:v>6.7799219074722519</c:v>
                </c:pt>
                <c:pt idx="50">
                  <c:v>6.8079349436999257</c:v>
                </c:pt>
                <c:pt idx="51">
                  <c:v>6.7661917146603505</c:v>
                </c:pt>
                <c:pt idx="52">
                  <c:v>6.837332814685591</c:v>
                </c:pt>
                <c:pt idx="53">
                  <c:v>6.7889717429921701</c:v>
                </c:pt>
                <c:pt idx="54">
                  <c:v>6.8134445995108956</c:v>
                </c:pt>
                <c:pt idx="55">
                  <c:v>6.7661917146603505</c:v>
                </c:pt>
                <c:pt idx="56">
                  <c:v>6.8532990931860782</c:v>
                </c:pt>
                <c:pt idx="57">
                  <c:v>6.7867169506050811</c:v>
                </c:pt>
                <c:pt idx="58">
                  <c:v>6.8079349436999257</c:v>
                </c:pt>
                <c:pt idx="59">
                  <c:v>6.7661917146603505</c:v>
                </c:pt>
                <c:pt idx="60">
                  <c:v>6.8490662826334576</c:v>
                </c:pt>
                <c:pt idx="61">
                  <c:v>6.7968237182748554</c:v>
                </c:pt>
                <c:pt idx="62">
                  <c:v>6.8276292345028518</c:v>
                </c:pt>
                <c:pt idx="63">
                  <c:v>6.7855876450079293</c:v>
                </c:pt>
                <c:pt idx="64">
                  <c:v>6.8648477779708603</c:v>
                </c:pt>
                <c:pt idx="65">
                  <c:v>6.8057225534169854</c:v>
                </c:pt>
                <c:pt idx="66">
                  <c:v>6.8341087388138382</c:v>
                </c:pt>
                <c:pt idx="67">
                  <c:v>6.7934661325800096</c:v>
                </c:pt>
                <c:pt idx="68">
                  <c:v>6.8741984954532942</c:v>
                </c:pt>
                <c:pt idx="69">
                  <c:v>6.8112443786012937</c:v>
                </c:pt>
                <c:pt idx="70">
                  <c:v>6.8405465292886873</c:v>
                </c:pt>
                <c:pt idx="71">
                  <c:v>6.7968237182748554</c:v>
                </c:pt>
                <c:pt idx="72">
                  <c:v>6.8772960714974287</c:v>
                </c:pt>
                <c:pt idx="73">
                  <c:v>6.8101424501151362</c:v>
                </c:pt>
                <c:pt idx="74">
                  <c:v>6.8458798752640497</c:v>
                </c:pt>
                <c:pt idx="75">
                  <c:v>6.8079349436999257</c:v>
                </c:pt>
                <c:pt idx="76">
                  <c:v>6.879355804460439</c:v>
                </c:pt>
                <c:pt idx="77">
                  <c:v>6.8394764382288429</c:v>
                </c:pt>
                <c:pt idx="78">
                  <c:v>6.8679744089702925</c:v>
                </c:pt>
                <c:pt idx="79">
                  <c:v>6.8178305714541496</c:v>
                </c:pt>
                <c:pt idx="80">
                  <c:v>6.892641641172089</c:v>
                </c:pt>
                <c:pt idx="81">
                  <c:v>6.8362592772770672</c:v>
                </c:pt>
                <c:pt idx="82">
                  <c:v>6.8606636714482869</c:v>
                </c:pt>
                <c:pt idx="83">
                  <c:v>6.8145428972599582</c:v>
                </c:pt>
                <c:pt idx="84">
                  <c:v>6.8916258970522533</c:v>
                </c:pt>
                <c:pt idx="85">
                  <c:v>6.842683282238422</c:v>
                </c:pt>
                <c:pt idx="86">
                  <c:v>6.8679744089702925</c:v>
                </c:pt>
                <c:pt idx="87">
                  <c:v>6.8297937375124249</c:v>
                </c:pt>
                <c:pt idx="88">
                  <c:v>6.9027427371585928</c:v>
                </c:pt>
                <c:pt idx="89">
                  <c:v>6.8469431395853793</c:v>
                </c:pt>
                <c:pt idx="90">
                  <c:v>6.8834625864130921</c:v>
                </c:pt>
                <c:pt idx="91">
                  <c:v>6.8341087388138382</c:v>
                </c:pt>
                <c:pt idx="92">
                  <c:v>6.9057532763114642</c:v>
                </c:pt>
                <c:pt idx="93">
                  <c:v>6.8638033914529544</c:v>
                </c:pt>
                <c:pt idx="94">
                  <c:v>6.8855096700348177</c:v>
                </c:pt>
                <c:pt idx="95">
                  <c:v>6.8308742346461795</c:v>
                </c:pt>
                <c:pt idx="96">
                  <c:v>6.9137373506596846</c:v>
                </c:pt>
                <c:pt idx="97">
                  <c:v>6.8617113404807304</c:v>
                </c:pt>
                <c:pt idx="98">
                  <c:v>6.8956826977478682</c:v>
                </c:pt>
                <c:pt idx="99">
                  <c:v>6.8394764382288429</c:v>
                </c:pt>
                <c:pt idx="100">
                  <c:v>6.9216581841511289</c:v>
                </c:pt>
                <c:pt idx="101">
                  <c:v>6.8731638342125176</c:v>
                </c:pt>
                <c:pt idx="102">
                  <c:v>6.8987145343299883</c:v>
                </c:pt>
                <c:pt idx="103">
                  <c:v>6.8469431395853793</c:v>
                </c:pt>
                <c:pt idx="104">
                  <c:v>6.9167150203536085</c:v>
                </c:pt>
                <c:pt idx="105">
                  <c:v>6.8731638342125176</c:v>
                </c:pt>
                <c:pt idx="106">
                  <c:v>6.9117473002516743</c:v>
                </c:pt>
                <c:pt idx="107">
                  <c:v>6.8690144506657065</c:v>
                </c:pt>
                <c:pt idx="108">
                  <c:v>6.9382844840169602</c:v>
                </c:pt>
                <c:pt idx="109">
                  <c:v>6.879355804460439</c:v>
                </c:pt>
                <c:pt idx="110">
                  <c:v>6.9167150203536085</c:v>
                </c:pt>
                <c:pt idx="111">
                  <c:v>6.8638033914529544</c:v>
                </c:pt>
                <c:pt idx="112">
                  <c:v>6.926577033222725</c:v>
                </c:pt>
                <c:pt idx="113">
                  <c:v>6.8844866520427823</c:v>
                </c:pt>
                <c:pt idx="114">
                  <c:v>6.9177056098353047</c:v>
                </c:pt>
                <c:pt idx="115">
                  <c:v>6.8772960714974287</c:v>
                </c:pt>
                <c:pt idx="116">
                  <c:v>6.9546388648809874</c:v>
                </c:pt>
                <c:pt idx="117">
                  <c:v>6.9037472575845982</c:v>
                </c:pt>
                <c:pt idx="118">
                  <c:v>6.93537044601511</c:v>
                </c:pt>
                <c:pt idx="119">
                  <c:v>6.8814113036425351</c:v>
                </c:pt>
                <c:pt idx="120">
                  <c:v>6.9527286446248686</c:v>
                </c:pt>
                <c:pt idx="121">
                  <c:v>6.9067547786485539</c:v>
                </c:pt>
                <c:pt idx="122">
                  <c:v>6.9402224691196386</c:v>
                </c:pt>
                <c:pt idx="123">
                  <c:v>6.8977049431286357</c:v>
                </c:pt>
                <c:pt idx="124">
                  <c:v>6.9631899858702377</c:v>
                </c:pt>
                <c:pt idx="125">
                  <c:v>6.9117473002516743</c:v>
                </c:pt>
                <c:pt idx="126">
                  <c:v>6.9373140812236818</c:v>
                </c:pt>
                <c:pt idx="127">
                  <c:v>6.9037472575845982</c:v>
                </c:pt>
                <c:pt idx="128">
                  <c:v>6.9688503783419478</c:v>
                </c:pt>
                <c:pt idx="129">
                  <c:v>6.9304947659516261</c:v>
                </c:pt>
                <c:pt idx="130">
                  <c:v>6.9555926083962971</c:v>
                </c:pt>
                <c:pt idx="131">
                  <c:v>6.9067547786485539</c:v>
                </c:pt>
                <c:pt idx="132">
                  <c:v>6.9754139274559517</c:v>
                </c:pt>
                <c:pt idx="133">
                  <c:v>6.9285378181646653</c:v>
                </c:pt>
                <c:pt idx="134">
                  <c:v>6.9622434642662068</c:v>
                </c:pt>
                <c:pt idx="135">
                  <c:v>6.9236286281384274</c:v>
                </c:pt>
                <c:pt idx="136">
                  <c:v>6.9884131819995918</c:v>
                </c:pt>
                <c:pt idx="137">
                  <c:v>6.93537044601511</c:v>
                </c:pt>
                <c:pt idx="138">
                  <c:v>6.953684210870537</c:v>
                </c:pt>
                <c:pt idx="139">
                  <c:v>6.9236286281384274</c:v>
                </c:pt>
                <c:pt idx="140">
                  <c:v>6.9957661563048505</c:v>
                </c:pt>
                <c:pt idx="141">
                  <c:v>6.9431224228194282</c:v>
                </c:pt>
                <c:pt idx="142">
                  <c:v>6.9641356124182447</c:v>
                </c:pt>
                <c:pt idx="143">
                  <c:v>6.9343972099285578</c:v>
                </c:pt>
                <c:pt idx="144">
                  <c:v>6.9957661563048505</c:v>
                </c:pt>
                <c:pt idx="145">
                  <c:v>6.9479370686149693</c:v>
                </c:pt>
                <c:pt idx="146">
                  <c:v>6.9828627514689421</c:v>
                </c:pt>
                <c:pt idx="147">
                  <c:v>6.932447891572509</c:v>
                </c:pt>
                <c:pt idx="148">
                  <c:v>7.007600613951853</c:v>
                </c:pt>
                <c:pt idx="149">
                  <c:v>6.9527286446248686</c:v>
                </c:pt>
                <c:pt idx="150">
                  <c:v>6.9837899652581346</c:v>
                </c:pt>
                <c:pt idx="151">
                  <c:v>6.9488972223133123</c:v>
                </c:pt>
                <c:pt idx="152">
                  <c:v>7.0048819897128594</c:v>
                </c:pt>
                <c:pt idx="153">
                  <c:v>6.9669671386139829</c:v>
                </c:pt>
                <c:pt idx="154">
                  <c:v>6.9985096422506015</c:v>
                </c:pt>
                <c:pt idx="155">
                  <c:v>6.9498564550007726</c:v>
                </c:pt>
                <c:pt idx="156">
                  <c:v>7.0192966537150445</c:v>
                </c:pt>
                <c:pt idx="157">
                  <c:v>6.9763480704477487</c:v>
                </c:pt>
                <c:pt idx="158">
                  <c:v>6.9966814881765389</c:v>
                </c:pt>
                <c:pt idx="159">
                  <c:v>6.9584483932976555</c:v>
                </c:pt>
                <c:pt idx="160">
                  <c:v>7.0273145140397766</c:v>
                </c:pt>
                <c:pt idx="161">
                  <c:v>6.9800759405617629</c:v>
                </c:pt>
                <c:pt idx="162">
                  <c:v>7.0066952268370404</c:v>
                </c:pt>
                <c:pt idx="163">
                  <c:v>6.9744789110250451</c:v>
                </c:pt>
                <c:pt idx="164">
                  <c:v>7.0308574761161209</c:v>
                </c:pt>
                <c:pt idx="165">
                  <c:v>6.9828627514689421</c:v>
                </c:pt>
                <c:pt idx="166">
                  <c:v>7.0112139873503674</c:v>
                </c:pt>
                <c:pt idx="167">
                  <c:v>6.9716686047257896</c:v>
                </c:pt>
                <c:pt idx="168">
                  <c:v>7.0379059634471819</c:v>
                </c:pt>
                <c:pt idx="169">
                  <c:v>6.9994224675079613</c:v>
                </c:pt>
                <c:pt idx="170">
                  <c:v>7.020190708311925</c:v>
                </c:pt>
                <c:pt idx="171">
                  <c:v>6.9828627514689421</c:v>
                </c:pt>
                <c:pt idx="172">
                  <c:v>7.0518556229558937</c:v>
                </c:pt>
                <c:pt idx="173">
                  <c:v>7.0030654587864616</c:v>
                </c:pt>
                <c:pt idx="174">
                  <c:v>7.0343879299155034</c:v>
                </c:pt>
                <c:pt idx="175">
                  <c:v>6.9930151229329605</c:v>
                </c:pt>
                <c:pt idx="176">
                  <c:v>7.0527210492323231</c:v>
                </c:pt>
                <c:pt idx="177">
                  <c:v>7.0030654587864616</c:v>
                </c:pt>
                <c:pt idx="178">
                  <c:v>7.026426808699636</c:v>
                </c:pt>
                <c:pt idx="179">
                  <c:v>6.9893352659745602</c:v>
                </c:pt>
                <c:pt idx="180">
                  <c:v>7.0604763659998007</c:v>
                </c:pt>
                <c:pt idx="181">
                  <c:v>7.0112139873503674</c:v>
                </c:pt>
                <c:pt idx="182">
                  <c:v>7.0414116637948103</c:v>
                </c:pt>
                <c:pt idx="183">
                  <c:v>7.0039741367226798</c:v>
                </c:pt>
                <c:pt idx="184">
                  <c:v>7.0758088639783869</c:v>
                </c:pt>
                <c:pt idx="185">
                  <c:v>7.0299729117063858</c:v>
                </c:pt>
                <c:pt idx="186">
                  <c:v>7.0587581525186645</c:v>
                </c:pt>
                <c:pt idx="187">
                  <c:v>7.014814351275545</c:v>
                </c:pt>
                <c:pt idx="188">
                  <c:v>7.0800264999225906</c:v>
                </c:pt>
                <c:pt idx="189">
                  <c:v>7.0282014320580046</c:v>
                </c:pt>
                <c:pt idx="190">
                  <c:v>7.0587581525186645</c:v>
                </c:pt>
                <c:pt idx="191">
                  <c:v>7.026426808699636</c:v>
                </c:pt>
                <c:pt idx="192">
                  <c:v>7.0825485693552999</c:v>
                </c:pt>
                <c:pt idx="193">
                  <c:v>7.0431599159883405</c:v>
                </c:pt>
                <c:pt idx="194">
                  <c:v>7.0656133635977172</c:v>
                </c:pt>
                <c:pt idx="195">
                  <c:v>7.035268599281097</c:v>
                </c:pt>
                <c:pt idx="196">
                  <c:v>7.0950643772871311</c:v>
                </c:pt>
                <c:pt idx="197">
                  <c:v>7.0483864087218828</c:v>
                </c:pt>
                <c:pt idx="198">
                  <c:v>7.0664669701369576</c:v>
                </c:pt>
                <c:pt idx="199">
                  <c:v>7.0335064842876971</c:v>
                </c:pt>
                <c:pt idx="200">
                  <c:v>7.1000271666292596</c:v>
                </c:pt>
                <c:pt idx="201">
                  <c:v>7.0553128433397516</c:v>
                </c:pt>
                <c:pt idx="202">
                  <c:v>7.0791843946096682</c:v>
                </c:pt>
                <c:pt idx="203">
                  <c:v>7.0379059634471819</c:v>
                </c:pt>
                <c:pt idx="204">
                  <c:v>7.1057861294812712</c:v>
                </c:pt>
                <c:pt idx="205">
                  <c:v>7.0501225202690589</c:v>
                </c:pt>
                <c:pt idx="206">
                  <c:v>7.0758088639783869</c:v>
                </c:pt>
                <c:pt idx="207">
                  <c:v>7.0449051171293711</c:v>
                </c:pt>
                <c:pt idx="208">
                  <c:v>7.114769448366463</c:v>
                </c:pt>
                <c:pt idx="209">
                  <c:v>7.0774980535692311</c:v>
                </c:pt>
                <c:pt idx="210">
                  <c:v>7.0992017435530919</c:v>
                </c:pt>
                <c:pt idx="211">
                  <c:v>7.0527210492323231</c:v>
                </c:pt>
                <c:pt idx="212">
                  <c:v>7.1268908088988079</c:v>
                </c:pt>
                <c:pt idx="213">
                  <c:v>7.0791843946096682</c:v>
                </c:pt>
                <c:pt idx="214">
                  <c:v>7.0925737159746784</c:v>
                </c:pt>
                <c:pt idx="215">
                  <c:v>7.0604763659998007</c:v>
                </c:pt>
                <c:pt idx="216">
                  <c:v>7.1260872732991247</c:v>
                </c:pt>
                <c:pt idx="217">
                  <c:v>7.0909098220799835</c:v>
                </c:pt>
                <c:pt idx="218">
                  <c:v>7.1098794630722715</c:v>
                </c:pt>
                <c:pt idx="219">
                  <c:v>7.0741168161973622</c:v>
                </c:pt>
                <c:pt idx="220">
                  <c:v>7.1276936993473985</c:v>
                </c:pt>
                <c:pt idx="221">
                  <c:v>7.0967213784947605</c:v>
                </c:pt>
                <c:pt idx="222">
                  <c:v>7.1180162044653335</c:v>
                </c:pt>
                <c:pt idx="223">
                  <c:v>7.0783415795576712</c:v>
                </c:pt>
                <c:pt idx="224">
                  <c:v>7.1364832085902474</c:v>
                </c:pt>
                <c:pt idx="225">
                  <c:v>7.0992017435530919</c:v>
                </c:pt>
                <c:pt idx="226">
                  <c:v>7.1212524532445416</c:v>
                </c:pt>
                <c:pt idx="227">
                  <c:v>7.0825485693552999</c:v>
                </c:pt>
                <c:pt idx="228">
                  <c:v>7.1420365747068031</c:v>
                </c:pt>
                <c:pt idx="229">
                  <c:v>7.1074254741107046</c:v>
                </c:pt>
                <c:pt idx="230">
                  <c:v>7.1324975516600437</c:v>
                </c:pt>
                <c:pt idx="231">
                  <c:v>7.0925737159746784</c:v>
                </c:pt>
                <c:pt idx="232">
                  <c:v>7.1507014575925263</c:v>
                </c:pt>
                <c:pt idx="233">
                  <c:v>7.1163941440934648</c:v>
                </c:pt>
                <c:pt idx="234">
                  <c:v>7.1404530431011581</c:v>
                </c:pt>
                <c:pt idx="235">
                  <c:v>7.0950643772871311</c:v>
                </c:pt>
                <c:pt idx="236">
                  <c:v>7.1569563646156364</c:v>
                </c:pt>
                <c:pt idx="237">
                  <c:v>7.1284959456800365</c:v>
                </c:pt>
                <c:pt idx="238">
                  <c:v>7.1491315985574069</c:v>
                </c:pt>
                <c:pt idx="239">
                  <c:v>7.110696122978827</c:v>
                </c:pt>
                <c:pt idx="240">
                  <c:v>7.1693500166705997</c:v>
                </c:pt>
                <c:pt idx="241">
                  <c:v>7.1332959548960684</c:v>
                </c:pt>
                <c:pt idx="242">
                  <c:v>7.1444071803211386</c:v>
                </c:pt>
                <c:pt idx="243">
                  <c:v>7.111512116496157</c:v>
                </c:pt>
                <c:pt idx="244">
                  <c:v>7.1731917424865985</c:v>
                </c:pt>
                <c:pt idx="245">
                  <c:v>7.1292975489293733</c:v>
                </c:pt>
                <c:pt idx="246">
                  <c:v>7.1561766374806153</c:v>
                </c:pt>
                <c:pt idx="247">
                  <c:v>7.1236727852046071</c:v>
                </c:pt>
                <c:pt idx="248">
                  <c:v>7.1785454837636999</c:v>
                </c:pt>
                <c:pt idx="249">
                  <c:v>7.134890851565884</c:v>
                </c:pt>
                <c:pt idx="250">
                  <c:v>7.1639466843425472</c:v>
                </c:pt>
                <c:pt idx="251">
                  <c:v>7.1404530431011581</c:v>
                </c:pt>
                <c:pt idx="252">
                  <c:v>7.1838707150624526</c:v>
                </c:pt>
                <c:pt idx="253">
                  <c:v>7.153833801578843</c:v>
                </c:pt>
                <c:pt idx="254">
                  <c:v>7.1785454837636999</c:v>
                </c:pt>
                <c:pt idx="255">
                  <c:v>7.1388669999455239</c:v>
                </c:pt>
                <c:pt idx="256">
                  <c:v>7.1929342212157996</c:v>
                </c:pt>
                <c:pt idx="257">
                  <c:v>7.1553963018967339</c:v>
                </c:pt>
                <c:pt idx="258">
                  <c:v>7.1777824161951971</c:v>
                </c:pt>
                <c:pt idx="259">
                  <c:v>7.1459844677143876</c:v>
                </c:pt>
                <c:pt idx="260">
                  <c:v>7.2078598714324755</c:v>
                </c:pt>
                <c:pt idx="261">
                  <c:v>7.1662659741336379</c:v>
                </c:pt>
                <c:pt idx="262">
                  <c:v>7.1884127364969537</c:v>
                </c:pt>
                <c:pt idx="263">
                  <c:v>7.1585139973293206</c:v>
                </c:pt>
                <c:pt idx="264">
                  <c:v>7.2100796281707877</c:v>
                </c:pt>
                <c:pt idx="265">
                  <c:v>7.1777824161951971</c:v>
                </c:pt>
                <c:pt idx="266">
                  <c:v>7.193685818395112</c:v>
                </c:pt>
                <c:pt idx="267">
                  <c:v>7.153833801578843</c:v>
                </c:pt>
                <c:pt idx="268">
                  <c:v>7.2145044141511434</c:v>
                </c:pt>
                <c:pt idx="269">
                  <c:v>7.1815919446118652</c:v>
                </c:pt>
                <c:pt idx="270">
                  <c:v>7.2026611965232377</c:v>
                </c:pt>
                <c:pt idx="271">
                  <c:v>7.1731917424865985</c:v>
                </c:pt>
                <c:pt idx="272">
                  <c:v>7.222566018822171</c:v>
                </c:pt>
                <c:pt idx="273">
                  <c:v>7.1929342212157996</c:v>
                </c:pt>
                <c:pt idx="274">
                  <c:v>7.2122944685003407</c:v>
                </c:pt>
                <c:pt idx="275">
                  <c:v>7.179307969504034</c:v>
                </c:pt>
                <c:pt idx="276">
                  <c:v>7.233455418621439</c:v>
                </c:pt>
                <c:pt idx="277">
                  <c:v>7.1989312406881734</c:v>
                </c:pt>
                <c:pt idx="278">
                  <c:v>7.2196420401307355</c:v>
                </c:pt>
                <c:pt idx="279">
                  <c:v>7.1861443045223252</c:v>
                </c:pt>
                <c:pt idx="280">
                  <c:v>7.2442275156033498</c:v>
                </c:pt>
                <c:pt idx="281">
                  <c:v>7.2056351764103637</c:v>
                </c:pt>
                <c:pt idx="282">
                  <c:v>7.224753405767971</c:v>
                </c:pt>
                <c:pt idx="283">
                  <c:v>7.1891677384203225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A-41B8-A121-F001C2CA8ED2}"/>
            </c:ext>
          </c:extLst>
        </c:ser>
        <c:ser>
          <c:idx val="1"/>
          <c:order val="1"/>
          <c:tx>
            <c:strRef>
              <c:f>'dat80'!$L$1</c:f>
              <c:strCache>
                <c:ptCount val="1"/>
                <c:pt idx="0">
                  <c:v>Linear Trend LOG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'dat80'!$L$2:$L$285</c:f>
              <c:numCache>
                <c:formatCode>General</c:formatCode>
                <c:ptCount val="284"/>
                <c:pt idx="0">
                  <c:v>6.7025075253865625</c:v>
                </c:pt>
                <c:pt idx="1">
                  <c:v>6.7043228995589397</c:v>
                </c:pt>
                <c:pt idx="2">
                  <c:v>6.7061382737313169</c:v>
                </c:pt>
                <c:pt idx="3">
                  <c:v>6.7079536479036923</c:v>
                </c:pt>
                <c:pt idx="4">
                  <c:v>6.7097690220760695</c:v>
                </c:pt>
                <c:pt idx="5">
                  <c:v>6.7115843962484467</c:v>
                </c:pt>
                <c:pt idx="6">
                  <c:v>6.7133997704208239</c:v>
                </c:pt>
                <c:pt idx="7">
                  <c:v>6.7152151445931993</c:v>
                </c:pt>
                <c:pt idx="8">
                  <c:v>6.7170305187655766</c:v>
                </c:pt>
                <c:pt idx="9">
                  <c:v>6.7188458929379538</c:v>
                </c:pt>
                <c:pt idx="10">
                  <c:v>6.7206612671103292</c:v>
                </c:pt>
                <c:pt idx="11">
                  <c:v>6.7224766412827064</c:v>
                </c:pt>
                <c:pt idx="12">
                  <c:v>6.7242920154550836</c:v>
                </c:pt>
                <c:pt idx="13">
                  <c:v>6.726107389627459</c:v>
                </c:pt>
                <c:pt idx="14">
                  <c:v>6.7279227637998362</c:v>
                </c:pt>
                <c:pt idx="15">
                  <c:v>6.7297381379722134</c:v>
                </c:pt>
                <c:pt idx="16">
                  <c:v>6.7315535121445906</c:v>
                </c:pt>
                <c:pt idx="17">
                  <c:v>6.7333688863169661</c:v>
                </c:pt>
                <c:pt idx="18">
                  <c:v>6.7351842604893433</c:v>
                </c:pt>
                <c:pt idx="19">
                  <c:v>6.7369996346617205</c:v>
                </c:pt>
                <c:pt idx="20">
                  <c:v>6.7388150088340959</c:v>
                </c:pt>
                <c:pt idx="21">
                  <c:v>6.7406303830064731</c:v>
                </c:pt>
                <c:pt idx="22">
                  <c:v>6.7424457571788503</c:v>
                </c:pt>
                <c:pt idx="23">
                  <c:v>6.7442611313512257</c:v>
                </c:pt>
                <c:pt idx="24">
                  <c:v>6.7460765055236029</c:v>
                </c:pt>
                <c:pt idx="25">
                  <c:v>6.7478918796959801</c:v>
                </c:pt>
                <c:pt idx="26">
                  <c:v>6.7497072538683573</c:v>
                </c:pt>
                <c:pt idx="27">
                  <c:v>6.7515226280407328</c:v>
                </c:pt>
                <c:pt idx="28">
                  <c:v>6.75333800221311</c:v>
                </c:pt>
                <c:pt idx="29">
                  <c:v>6.7551533763854872</c:v>
                </c:pt>
                <c:pt idx="30">
                  <c:v>6.7569687505578626</c:v>
                </c:pt>
                <c:pt idx="31">
                  <c:v>6.7587841247302398</c:v>
                </c:pt>
                <c:pt idx="32">
                  <c:v>6.760599498902617</c:v>
                </c:pt>
                <c:pt idx="33">
                  <c:v>6.7624148730749942</c:v>
                </c:pt>
                <c:pt idx="34">
                  <c:v>6.7642302472473697</c:v>
                </c:pt>
                <c:pt idx="35">
                  <c:v>6.7660456214197469</c:v>
                </c:pt>
                <c:pt idx="36">
                  <c:v>6.7678609955921241</c:v>
                </c:pt>
                <c:pt idx="37">
                  <c:v>6.7696763697644995</c:v>
                </c:pt>
                <c:pt idx="38">
                  <c:v>6.7714917439368767</c:v>
                </c:pt>
                <c:pt idx="39">
                  <c:v>6.7733071181092539</c:v>
                </c:pt>
                <c:pt idx="40">
                  <c:v>6.7751224922816293</c:v>
                </c:pt>
                <c:pt idx="41">
                  <c:v>6.7769378664540065</c:v>
                </c:pt>
                <c:pt idx="42">
                  <c:v>6.7787532406263837</c:v>
                </c:pt>
                <c:pt idx="43">
                  <c:v>6.7805686147987609</c:v>
                </c:pt>
                <c:pt idx="44">
                  <c:v>6.7823839889711364</c:v>
                </c:pt>
                <c:pt idx="45">
                  <c:v>6.7841993631435136</c:v>
                </c:pt>
                <c:pt idx="46">
                  <c:v>6.7860147373158908</c:v>
                </c:pt>
                <c:pt idx="47">
                  <c:v>6.7878301114882662</c:v>
                </c:pt>
                <c:pt idx="48">
                  <c:v>6.7896454856606434</c:v>
                </c:pt>
                <c:pt idx="49">
                  <c:v>6.7914608598330206</c:v>
                </c:pt>
                <c:pt idx="50">
                  <c:v>6.7932762340053978</c:v>
                </c:pt>
                <c:pt idx="51">
                  <c:v>6.7950916081777732</c:v>
                </c:pt>
                <c:pt idx="52">
                  <c:v>6.7969069823501505</c:v>
                </c:pt>
                <c:pt idx="53">
                  <c:v>6.7987223565225277</c:v>
                </c:pt>
                <c:pt idx="54">
                  <c:v>6.8005377306949031</c:v>
                </c:pt>
                <c:pt idx="55">
                  <c:v>6.8023531048672803</c:v>
                </c:pt>
                <c:pt idx="56">
                  <c:v>6.8041684790396575</c:v>
                </c:pt>
                <c:pt idx="57">
                  <c:v>6.8059838532120329</c:v>
                </c:pt>
                <c:pt idx="58">
                  <c:v>6.8077992273844101</c:v>
                </c:pt>
                <c:pt idx="59">
                  <c:v>6.8096146015567873</c:v>
                </c:pt>
                <c:pt idx="60">
                  <c:v>6.8114299757291645</c:v>
                </c:pt>
                <c:pt idx="61">
                  <c:v>6.81324534990154</c:v>
                </c:pt>
                <c:pt idx="62">
                  <c:v>6.8150607240739172</c:v>
                </c:pt>
                <c:pt idx="63">
                  <c:v>6.8168760982462944</c:v>
                </c:pt>
                <c:pt idx="64">
                  <c:v>6.8186914724186698</c:v>
                </c:pt>
                <c:pt idx="65">
                  <c:v>6.820506846591047</c:v>
                </c:pt>
                <c:pt idx="66">
                  <c:v>6.8223222207634242</c:v>
                </c:pt>
                <c:pt idx="67">
                  <c:v>6.8241375949358014</c:v>
                </c:pt>
                <c:pt idx="68">
                  <c:v>6.8259529691081768</c:v>
                </c:pt>
                <c:pt idx="69">
                  <c:v>6.827768343280554</c:v>
                </c:pt>
                <c:pt idx="70">
                  <c:v>6.8295837174529312</c:v>
                </c:pt>
                <c:pt idx="71">
                  <c:v>6.8313990916253067</c:v>
                </c:pt>
                <c:pt idx="72">
                  <c:v>6.8332144657976839</c:v>
                </c:pt>
                <c:pt idx="73">
                  <c:v>6.8350298399700611</c:v>
                </c:pt>
                <c:pt idx="74">
                  <c:v>6.8368452141424365</c:v>
                </c:pt>
                <c:pt idx="75">
                  <c:v>6.8386605883148137</c:v>
                </c:pt>
                <c:pt idx="76">
                  <c:v>6.8404759624871909</c:v>
                </c:pt>
                <c:pt idx="77">
                  <c:v>6.8422913366595681</c:v>
                </c:pt>
                <c:pt idx="78">
                  <c:v>6.8441067108319436</c:v>
                </c:pt>
                <c:pt idx="79">
                  <c:v>6.8459220850043208</c:v>
                </c:pt>
                <c:pt idx="80">
                  <c:v>6.847737459176698</c:v>
                </c:pt>
                <c:pt idx="81">
                  <c:v>6.8495528333490734</c:v>
                </c:pt>
                <c:pt idx="82">
                  <c:v>6.8513682075214506</c:v>
                </c:pt>
                <c:pt idx="83">
                  <c:v>6.8531835816938278</c:v>
                </c:pt>
                <c:pt idx="84">
                  <c:v>6.854998955866205</c:v>
                </c:pt>
                <c:pt idx="85">
                  <c:v>6.8568143300385804</c:v>
                </c:pt>
                <c:pt idx="86">
                  <c:v>6.8586297042109576</c:v>
                </c:pt>
                <c:pt idx="87">
                  <c:v>6.8604450783833348</c:v>
                </c:pt>
                <c:pt idx="88">
                  <c:v>6.8622604525557103</c:v>
                </c:pt>
                <c:pt idx="89">
                  <c:v>6.8640758267280875</c:v>
                </c:pt>
                <c:pt idx="90">
                  <c:v>6.8658912009004647</c:v>
                </c:pt>
                <c:pt idx="91">
                  <c:v>6.8677065750728401</c:v>
                </c:pt>
                <c:pt idx="92">
                  <c:v>6.8695219492452173</c:v>
                </c:pt>
                <c:pt idx="93">
                  <c:v>6.8713373234175945</c:v>
                </c:pt>
                <c:pt idx="94">
                  <c:v>6.8731526975899717</c:v>
                </c:pt>
                <c:pt idx="95">
                  <c:v>6.8749680717623471</c:v>
                </c:pt>
                <c:pt idx="96">
                  <c:v>6.8767834459347243</c:v>
                </c:pt>
                <c:pt idx="97">
                  <c:v>6.8785988201071016</c:v>
                </c:pt>
                <c:pt idx="98">
                  <c:v>6.880414194279477</c:v>
                </c:pt>
                <c:pt idx="99">
                  <c:v>6.8822295684518542</c:v>
                </c:pt>
                <c:pt idx="100">
                  <c:v>6.8840449426242314</c:v>
                </c:pt>
                <c:pt idx="101">
                  <c:v>6.8858603167966086</c:v>
                </c:pt>
                <c:pt idx="102">
                  <c:v>6.887675690968984</c:v>
                </c:pt>
                <c:pt idx="103">
                  <c:v>6.8894910651413612</c:v>
                </c:pt>
                <c:pt idx="104">
                  <c:v>6.8913064393137384</c:v>
                </c:pt>
                <c:pt idx="105">
                  <c:v>6.8931218134861139</c:v>
                </c:pt>
                <c:pt idx="106">
                  <c:v>6.8949371876584911</c:v>
                </c:pt>
                <c:pt idx="107">
                  <c:v>6.8967525618308683</c:v>
                </c:pt>
                <c:pt idx="108">
                  <c:v>6.8985679360032437</c:v>
                </c:pt>
                <c:pt idx="109">
                  <c:v>6.9003833101756209</c:v>
                </c:pt>
                <c:pt idx="110">
                  <c:v>6.9021986843479981</c:v>
                </c:pt>
                <c:pt idx="111">
                  <c:v>6.9040140585203753</c:v>
                </c:pt>
                <c:pt idx="112">
                  <c:v>6.9058294326927507</c:v>
                </c:pt>
                <c:pt idx="113">
                  <c:v>6.9076448068651279</c:v>
                </c:pt>
                <c:pt idx="114">
                  <c:v>6.9094601810375051</c:v>
                </c:pt>
                <c:pt idx="115">
                  <c:v>6.9112755552098806</c:v>
                </c:pt>
                <c:pt idx="116">
                  <c:v>6.9130909293822578</c:v>
                </c:pt>
                <c:pt idx="117">
                  <c:v>6.914906303554635</c:v>
                </c:pt>
                <c:pt idx="118">
                  <c:v>6.9167216777270122</c:v>
                </c:pt>
                <c:pt idx="119">
                  <c:v>6.9185370518993876</c:v>
                </c:pt>
                <c:pt idx="120">
                  <c:v>6.9203524260717648</c:v>
                </c:pt>
                <c:pt idx="121">
                  <c:v>6.922167800244142</c:v>
                </c:pt>
                <c:pt idx="122">
                  <c:v>6.9239831744165174</c:v>
                </c:pt>
                <c:pt idx="123">
                  <c:v>6.9257985485888947</c:v>
                </c:pt>
                <c:pt idx="124">
                  <c:v>6.9276139227612719</c:v>
                </c:pt>
                <c:pt idx="125">
                  <c:v>6.9294292969336473</c:v>
                </c:pt>
                <c:pt idx="126">
                  <c:v>6.9312446711060245</c:v>
                </c:pt>
                <c:pt idx="127">
                  <c:v>6.9330600452784017</c:v>
                </c:pt>
                <c:pt idx="128">
                  <c:v>6.9348754194507789</c:v>
                </c:pt>
                <c:pt idx="129">
                  <c:v>6.9366907936231543</c:v>
                </c:pt>
                <c:pt idx="130">
                  <c:v>6.9385061677955315</c:v>
                </c:pt>
                <c:pt idx="131">
                  <c:v>6.9403215419679087</c:v>
                </c:pt>
                <c:pt idx="132">
                  <c:v>6.9421369161402842</c:v>
                </c:pt>
                <c:pt idx="133">
                  <c:v>6.9439522903126614</c:v>
                </c:pt>
                <c:pt idx="134">
                  <c:v>6.9457676644850386</c:v>
                </c:pt>
                <c:pt idx="135">
                  <c:v>6.9475830386574158</c:v>
                </c:pt>
                <c:pt idx="136">
                  <c:v>6.9493984128297912</c:v>
                </c:pt>
                <c:pt idx="137">
                  <c:v>6.9512137870021684</c:v>
                </c:pt>
                <c:pt idx="138">
                  <c:v>6.9530291611745456</c:v>
                </c:pt>
                <c:pt idx="139">
                  <c:v>6.954844535346921</c:v>
                </c:pt>
                <c:pt idx="140">
                  <c:v>6.9566599095192982</c:v>
                </c:pt>
                <c:pt idx="141">
                  <c:v>6.9584752836916755</c:v>
                </c:pt>
                <c:pt idx="142">
                  <c:v>6.9602906578640509</c:v>
                </c:pt>
                <c:pt idx="143">
                  <c:v>6.9621060320364281</c:v>
                </c:pt>
                <c:pt idx="144">
                  <c:v>6.9639214062088053</c:v>
                </c:pt>
                <c:pt idx="145">
                  <c:v>6.9657367803811825</c:v>
                </c:pt>
                <c:pt idx="146">
                  <c:v>6.9675521545535579</c:v>
                </c:pt>
                <c:pt idx="147">
                  <c:v>6.9693675287259351</c:v>
                </c:pt>
                <c:pt idx="148">
                  <c:v>6.9711829028983123</c:v>
                </c:pt>
                <c:pt idx="149">
                  <c:v>6.9729982770706878</c:v>
                </c:pt>
                <c:pt idx="150">
                  <c:v>6.974813651243065</c:v>
                </c:pt>
                <c:pt idx="151">
                  <c:v>6.9766290254154422</c:v>
                </c:pt>
                <c:pt idx="152">
                  <c:v>6.9784443995878194</c:v>
                </c:pt>
                <c:pt idx="153">
                  <c:v>6.9802597737601948</c:v>
                </c:pt>
                <c:pt idx="154">
                  <c:v>6.982075147932572</c:v>
                </c:pt>
                <c:pt idx="155">
                  <c:v>6.9838905221049492</c:v>
                </c:pt>
                <c:pt idx="156">
                  <c:v>6.9857058962773246</c:v>
                </c:pt>
                <c:pt idx="157">
                  <c:v>6.9875212704497018</c:v>
                </c:pt>
                <c:pt idx="158">
                  <c:v>6.989336644622079</c:v>
                </c:pt>
                <c:pt idx="159">
                  <c:v>6.9911520187944545</c:v>
                </c:pt>
                <c:pt idx="160">
                  <c:v>6.9929673929668317</c:v>
                </c:pt>
                <c:pt idx="161">
                  <c:v>6.9947827671392089</c:v>
                </c:pt>
                <c:pt idx="162">
                  <c:v>6.9965981413115861</c:v>
                </c:pt>
                <c:pt idx="163">
                  <c:v>6.9984135154839615</c:v>
                </c:pt>
                <c:pt idx="164">
                  <c:v>7.0002288896563387</c:v>
                </c:pt>
                <c:pt idx="165">
                  <c:v>7.0020442638287159</c:v>
                </c:pt>
                <c:pt idx="166">
                  <c:v>7.0038596380010913</c:v>
                </c:pt>
                <c:pt idx="167">
                  <c:v>7.0056750121734686</c:v>
                </c:pt>
                <c:pt idx="168">
                  <c:v>7.0074903863458458</c:v>
                </c:pt>
                <c:pt idx="169">
                  <c:v>7.009305760518223</c:v>
                </c:pt>
                <c:pt idx="170">
                  <c:v>7.0111211346905984</c:v>
                </c:pt>
                <c:pt idx="171">
                  <c:v>7.0129365088629756</c:v>
                </c:pt>
                <c:pt idx="172">
                  <c:v>7.0147518830353528</c:v>
                </c:pt>
                <c:pt idx="173">
                  <c:v>7.0165672572077282</c:v>
                </c:pt>
                <c:pt idx="174">
                  <c:v>7.0183826313801054</c:v>
                </c:pt>
                <c:pt idx="175">
                  <c:v>7.0201980055524826</c:v>
                </c:pt>
                <c:pt idx="176">
                  <c:v>7.0220133797248581</c:v>
                </c:pt>
                <c:pt idx="177">
                  <c:v>7.0238287538972353</c:v>
                </c:pt>
                <c:pt idx="178">
                  <c:v>7.0256441280696125</c:v>
                </c:pt>
                <c:pt idx="179">
                  <c:v>7.0274595022419897</c:v>
                </c:pt>
                <c:pt idx="180">
                  <c:v>7.0292748764143651</c:v>
                </c:pt>
                <c:pt idx="181">
                  <c:v>7.0310902505867423</c:v>
                </c:pt>
                <c:pt idx="182">
                  <c:v>7.0329056247591195</c:v>
                </c:pt>
                <c:pt idx="183">
                  <c:v>7.0347209989314949</c:v>
                </c:pt>
                <c:pt idx="184">
                  <c:v>7.0365363731038721</c:v>
                </c:pt>
                <c:pt idx="185">
                  <c:v>7.0383517472762493</c:v>
                </c:pt>
                <c:pt idx="186">
                  <c:v>7.0401671214486266</c:v>
                </c:pt>
                <c:pt idx="187">
                  <c:v>7.041982495621002</c:v>
                </c:pt>
                <c:pt idx="188">
                  <c:v>7.0437978697933792</c:v>
                </c:pt>
                <c:pt idx="189">
                  <c:v>7.0456132439657564</c:v>
                </c:pt>
                <c:pt idx="190">
                  <c:v>7.0474286181381318</c:v>
                </c:pt>
                <c:pt idx="191">
                  <c:v>7.049243992310509</c:v>
                </c:pt>
                <c:pt idx="192">
                  <c:v>7.0510593664828862</c:v>
                </c:pt>
                <c:pt idx="193">
                  <c:v>7.0528747406552617</c:v>
                </c:pt>
                <c:pt idx="194">
                  <c:v>7.0546901148276389</c:v>
                </c:pt>
                <c:pt idx="195">
                  <c:v>7.0565054890000161</c:v>
                </c:pt>
                <c:pt idx="196">
                  <c:v>7.0583208631723933</c:v>
                </c:pt>
                <c:pt idx="197">
                  <c:v>7.0601362373447687</c:v>
                </c:pt>
                <c:pt idx="198">
                  <c:v>7.0619516115171459</c:v>
                </c:pt>
                <c:pt idx="199">
                  <c:v>7.0637669856895231</c:v>
                </c:pt>
                <c:pt idx="200">
                  <c:v>7.0655823598618985</c:v>
                </c:pt>
                <c:pt idx="201">
                  <c:v>7.0673977340342757</c:v>
                </c:pt>
                <c:pt idx="202">
                  <c:v>7.0692131082066529</c:v>
                </c:pt>
                <c:pt idx="203">
                  <c:v>7.0710284823790301</c:v>
                </c:pt>
                <c:pt idx="204">
                  <c:v>7.0728438565514056</c:v>
                </c:pt>
                <c:pt idx="205">
                  <c:v>7.0746592307237828</c:v>
                </c:pt>
                <c:pt idx="206">
                  <c:v>7.07647460489616</c:v>
                </c:pt>
                <c:pt idx="207">
                  <c:v>7.0782899790685354</c:v>
                </c:pt>
                <c:pt idx="208">
                  <c:v>7.0801053532409126</c:v>
                </c:pt>
                <c:pt idx="209">
                  <c:v>7.0819207274132898</c:v>
                </c:pt>
                <c:pt idx="210">
                  <c:v>7.0837361015856652</c:v>
                </c:pt>
                <c:pt idx="211">
                  <c:v>7.0855514757580425</c:v>
                </c:pt>
                <c:pt idx="212">
                  <c:v>7.0873668499304197</c:v>
                </c:pt>
                <c:pt idx="213">
                  <c:v>7.0891822241027969</c:v>
                </c:pt>
                <c:pt idx="214">
                  <c:v>7.0909975982751723</c:v>
                </c:pt>
                <c:pt idx="215">
                  <c:v>7.0928129724475495</c:v>
                </c:pt>
                <c:pt idx="216">
                  <c:v>7.0946283466199267</c:v>
                </c:pt>
                <c:pt idx="217">
                  <c:v>7.0964437207923021</c:v>
                </c:pt>
                <c:pt idx="218">
                  <c:v>7.0982590949646793</c:v>
                </c:pt>
                <c:pt idx="219">
                  <c:v>7.1000744691370565</c:v>
                </c:pt>
                <c:pt idx="220">
                  <c:v>7.101889843309432</c:v>
                </c:pt>
                <c:pt idx="221">
                  <c:v>7.1037052174818092</c:v>
                </c:pt>
                <c:pt idx="222">
                  <c:v>7.1055205916541864</c:v>
                </c:pt>
                <c:pt idx="223">
                  <c:v>7.1073359658265636</c:v>
                </c:pt>
                <c:pt idx="224">
                  <c:v>7.109151339998939</c:v>
                </c:pt>
                <c:pt idx="225">
                  <c:v>7.1109667141713162</c:v>
                </c:pt>
                <c:pt idx="226">
                  <c:v>7.1127820883436934</c:v>
                </c:pt>
                <c:pt idx="227">
                  <c:v>7.1145974625160688</c:v>
                </c:pt>
                <c:pt idx="228">
                  <c:v>7.116412836688446</c:v>
                </c:pt>
                <c:pt idx="229">
                  <c:v>7.1182282108608232</c:v>
                </c:pt>
                <c:pt idx="230">
                  <c:v>7.1200435850332005</c:v>
                </c:pt>
                <c:pt idx="231">
                  <c:v>7.1218589592055759</c:v>
                </c:pt>
                <c:pt idx="232">
                  <c:v>7.1236743333779531</c:v>
                </c:pt>
                <c:pt idx="233">
                  <c:v>7.1254897075503303</c:v>
                </c:pt>
                <c:pt idx="234">
                  <c:v>7.1273050817227057</c:v>
                </c:pt>
                <c:pt idx="235">
                  <c:v>7.1291204558950829</c:v>
                </c:pt>
                <c:pt idx="236">
                  <c:v>7.1309358300674601</c:v>
                </c:pt>
                <c:pt idx="237">
                  <c:v>7.1327512042398356</c:v>
                </c:pt>
                <c:pt idx="238">
                  <c:v>7.1345665784122128</c:v>
                </c:pt>
                <c:pt idx="239">
                  <c:v>7.13638195258459</c:v>
                </c:pt>
                <c:pt idx="240">
                  <c:v>7.1381973267569672</c:v>
                </c:pt>
                <c:pt idx="241">
                  <c:v>7.1400127009293426</c:v>
                </c:pt>
                <c:pt idx="242">
                  <c:v>7.1418280751017198</c:v>
                </c:pt>
                <c:pt idx="243">
                  <c:v>7.143643449274097</c:v>
                </c:pt>
                <c:pt idx="244">
                  <c:v>7.1454588234464724</c:v>
                </c:pt>
                <c:pt idx="245">
                  <c:v>7.1472741976188496</c:v>
                </c:pt>
                <c:pt idx="246">
                  <c:v>7.1490895717912268</c:v>
                </c:pt>
                <c:pt idx="247">
                  <c:v>7.150904945963604</c:v>
                </c:pt>
                <c:pt idx="248">
                  <c:v>7.1527203201359795</c:v>
                </c:pt>
                <c:pt idx="249">
                  <c:v>7.1545356943083567</c:v>
                </c:pt>
                <c:pt idx="250">
                  <c:v>7.1563510684807339</c:v>
                </c:pt>
                <c:pt idx="251">
                  <c:v>7.1581664426531093</c:v>
                </c:pt>
                <c:pt idx="252">
                  <c:v>7.1599818168254865</c:v>
                </c:pt>
                <c:pt idx="253">
                  <c:v>7.1617971909978637</c:v>
                </c:pt>
                <c:pt idx="254">
                  <c:v>7.1636125651702391</c:v>
                </c:pt>
                <c:pt idx="255">
                  <c:v>7.1654279393426163</c:v>
                </c:pt>
                <c:pt idx="256">
                  <c:v>7.1672433135149936</c:v>
                </c:pt>
                <c:pt idx="257">
                  <c:v>7.1690586876873708</c:v>
                </c:pt>
                <c:pt idx="258">
                  <c:v>7.1708740618597462</c:v>
                </c:pt>
                <c:pt idx="259">
                  <c:v>7.1726894360321234</c:v>
                </c:pt>
                <c:pt idx="260">
                  <c:v>7.1745048102045006</c:v>
                </c:pt>
                <c:pt idx="261">
                  <c:v>7.176320184376876</c:v>
                </c:pt>
                <c:pt idx="262">
                  <c:v>7.1781355585492532</c:v>
                </c:pt>
                <c:pt idx="263">
                  <c:v>7.1799509327216304</c:v>
                </c:pt>
                <c:pt idx="264">
                  <c:v>7.1817663068940076</c:v>
                </c:pt>
                <c:pt idx="265">
                  <c:v>7.1835816810663831</c:v>
                </c:pt>
                <c:pt idx="266">
                  <c:v>7.1853970552387603</c:v>
                </c:pt>
                <c:pt idx="267">
                  <c:v>7.1872124294111375</c:v>
                </c:pt>
                <c:pt idx="268">
                  <c:v>7.1890278035835129</c:v>
                </c:pt>
                <c:pt idx="269">
                  <c:v>7.1908431777558901</c:v>
                </c:pt>
                <c:pt idx="270">
                  <c:v>7.1926585519282673</c:v>
                </c:pt>
                <c:pt idx="271">
                  <c:v>7.1944739261006427</c:v>
                </c:pt>
                <c:pt idx="272">
                  <c:v>7.1962893002730199</c:v>
                </c:pt>
                <c:pt idx="273">
                  <c:v>7.1981046744453971</c:v>
                </c:pt>
                <c:pt idx="274">
                  <c:v>7.1999200486177743</c:v>
                </c:pt>
                <c:pt idx="275">
                  <c:v>7.2017354227901498</c:v>
                </c:pt>
                <c:pt idx="276">
                  <c:v>7.203550796962527</c:v>
                </c:pt>
                <c:pt idx="277">
                  <c:v>7.2053661711349042</c:v>
                </c:pt>
                <c:pt idx="278">
                  <c:v>7.2071815453072796</c:v>
                </c:pt>
                <c:pt idx="279">
                  <c:v>7.2089969194796568</c:v>
                </c:pt>
                <c:pt idx="280">
                  <c:v>7.210812293652034</c:v>
                </c:pt>
                <c:pt idx="281">
                  <c:v>7.2126276678244112</c:v>
                </c:pt>
                <c:pt idx="282">
                  <c:v>7.2144430419967867</c:v>
                </c:pt>
                <c:pt idx="283">
                  <c:v>7.2162584161691639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A-41B8-A121-F001C2CA8ED2}"/>
            </c:ext>
          </c:extLst>
        </c:ser>
        <c:ser>
          <c:idx val="2"/>
          <c:order val="2"/>
          <c:tx>
            <c:strRef>
              <c:f>'dat80'!$M$1</c:f>
              <c:strCache>
                <c:ptCount val="1"/>
                <c:pt idx="0">
                  <c:v>Quadratic Trend LOG</c:v>
                </c:pt>
              </c:strCache>
            </c:strRef>
          </c:tx>
          <c:spPr>
            <a:ln w="28575" cap="rnd">
              <a:solidFill>
                <a:srgbClr val="FFFF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'dat80'!$M$2:$M$285</c:f>
              <c:numCache>
                <c:formatCode>General</c:formatCode>
                <c:ptCount val="284"/>
                <c:pt idx="0">
                  <c:v>6.7031122753431855</c:v>
                </c:pt>
                <c:pt idx="1">
                  <c:v>6.7049148279617121</c:v>
                </c:pt>
                <c:pt idx="2">
                  <c:v>6.7067174715132438</c:v>
                </c:pt>
                <c:pt idx="3">
                  <c:v>6.7085202059977824</c:v>
                </c:pt>
                <c:pt idx="4">
                  <c:v>6.7103230314153262</c:v>
                </c:pt>
                <c:pt idx="5">
                  <c:v>6.7121259477658759</c:v>
                </c:pt>
                <c:pt idx="6">
                  <c:v>6.7139289550494325</c:v>
                </c:pt>
                <c:pt idx="7">
                  <c:v>6.7157320532659943</c:v>
                </c:pt>
                <c:pt idx="8">
                  <c:v>6.7175352424155639</c:v>
                </c:pt>
                <c:pt idx="9">
                  <c:v>6.7193385224981377</c:v>
                </c:pt>
                <c:pt idx="10">
                  <c:v>6.7211418935137175</c:v>
                </c:pt>
                <c:pt idx="11">
                  <c:v>6.7229453554623042</c:v>
                </c:pt>
                <c:pt idx="12">
                  <c:v>6.724748908343896</c:v>
                </c:pt>
                <c:pt idx="13">
                  <c:v>6.7265525521584957</c:v>
                </c:pt>
                <c:pt idx="14">
                  <c:v>6.7283562869060995</c:v>
                </c:pt>
                <c:pt idx="15">
                  <c:v>6.7301601125867094</c:v>
                </c:pt>
                <c:pt idx="16">
                  <c:v>6.7319640292003271</c:v>
                </c:pt>
                <c:pt idx="17">
                  <c:v>6.733768036746949</c:v>
                </c:pt>
                <c:pt idx="18">
                  <c:v>6.7355721352265787</c:v>
                </c:pt>
                <c:pt idx="19">
                  <c:v>6.7373763246392127</c:v>
                </c:pt>
                <c:pt idx="20">
                  <c:v>6.7391806049848526</c:v>
                </c:pt>
                <c:pt idx="21">
                  <c:v>6.7409849762635004</c:v>
                </c:pt>
                <c:pt idx="22">
                  <c:v>6.7427894384751523</c:v>
                </c:pt>
                <c:pt idx="23">
                  <c:v>6.7445939916198121</c:v>
                </c:pt>
                <c:pt idx="24">
                  <c:v>6.7463986356974761</c:v>
                </c:pt>
                <c:pt idx="25">
                  <c:v>6.7482033707081461</c:v>
                </c:pt>
                <c:pt idx="26">
                  <c:v>6.7500081966518248</c:v>
                </c:pt>
                <c:pt idx="27">
                  <c:v>6.751813113528506</c:v>
                </c:pt>
                <c:pt idx="28">
                  <c:v>6.7536181213381958</c:v>
                </c:pt>
                <c:pt idx="29">
                  <c:v>6.7554232200808908</c:v>
                </c:pt>
                <c:pt idx="30">
                  <c:v>6.7572284097565909</c:v>
                </c:pt>
                <c:pt idx="31">
                  <c:v>6.7590336903652997</c:v>
                </c:pt>
                <c:pt idx="32">
                  <c:v>6.7608390619070118</c:v>
                </c:pt>
                <c:pt idx="33">
                  <c:v>6.7626445243817317</c:v>
                </c:pt>
                <c:pt idx="34">
                  <c:v>6.7644500777894558</c:v>
                </c:pt>
                <c:pt idx="35">
                  <c:v>6.766255722130186</c:v>
                </c:pt>
                <c:pt idx="36">
                  <c:v>6.7680614574039248</c:v>
                </c:pt>
                <c:pt idx="37">
                  <c:v>6.769867283610667</c:v>
                </c:pt>
                <c:pt idx="38">
                  <c:v>6.771673200750417</c:v>
                </c:pt>
                <c:pt idx="39">
                  <c:v>6.7734792088231721</c:v>
                </c:pt>
                <c:pt idx="40">
                  <c:v>6.7752853078289323</c:v>
                </c:pt>
                <c:pt idx="41">
                  <c:v>6.7770914977677013</c:v>
                </c:pt>
                <c:pt idx="42">
                  <c:v>6.7788977786394735</c:v>
                </c:pt>
                <c:pt idx="43">
                  <c:v>6.7807041504442545</c:v>
                </c:pt>
                <c:pt idx="44">
                  <c:v>6.7825106131820387</c:v>
                </c:pt>
                <c:pt idx="45">
                  <c:v>6.7843171668528299</c:v>
                </c:pt>
                <c:pt idx="46">
                  <c:v>6.786123811456628</c:v>
                </c:pt>
                <c:pt idx="47">
                  <c:v>6.7879305469934312</c:v>
                </c:pt>
                <c:pt idx="48">
                  <c:v>6.7897373734632422</c:v>
                </c:pt>
                <c:pt idx="49">
                  <c:v>6.7915442908660566</c:v>
                </c:pt>
                <c:pt idx="50">
                  <c:v>6.7933512992018779</c:v>
                </c:pt>
                <c:pt idx="51">
                  <c:v>6.7951583984707069</c:v>
                </c:pt>
                <c:pt idx="52">
                  <c:v>6.7969655886725402</c:v>
                </c:pt>
                <c:pt idx="53">
                  <c:v>6.7987728698073804</c:v>
                </c:pt>
                <c:pt idx="54">
                  <c:v>6.8005802418752257</c:v>
                </c:pt>
                <c:pt idx="55">
                  <c:v>6.802387704876077</c:v>
                </c:pt>
                <c:pt idx="56">
                  <c:v>6.8041952588099353</c:v>
                </c:pt>
                <c:pt idx="57">
                  <c:v>6.8060029036767986</c:v>
                </c:pt>
                <c:pt idx="58">
                  <c:v>6.8078106394766698</c:v>
                </c:pt>
                <c:pt idx="59">
                  <c:v>6.8096184662095451</c:v>
                </c:pt>
                <c:pt idx="60">
                  <c:v>6.8114263838754283</c:v>
                </c:pt>
                <c:pt idx="61">
                  <c:v>6.8132343924743157</c:v>
                </c:pt>
                <c:pt idx="62">
                  <c:v>6.8150424920062083</c:v>
                </c:pt>
                <c:pt idx="63">
                  <c:v>6.8168506824711095</c:v>
                </c:pt>
                <c:pt idx="64">
                  <c:v>6.8186589638690158</c:v>
                </c:pt>
                <c:pt idx="65">
                  <c:v>6.8204673361999291</c:v>
                </c:pt>
                <c:pt idx="66">
                  <c:v>6.8222757994638457</c:v>
                </c:pt>
                <c:pt idx="67">
                  <c:v>6.8240843536607692</c:v>
                </c:pt>
                <c:pt idx="68">
                  <c:v>6.8258929987907013</c:v>
                </c:pt>
                <c:pt idx="69">
                  <c:v>6.8277017348536369</c:v>
                </c:pt>
                <c:pt idx="70">
                  <c:v>6.8295105618495793</c:v>
                </c:pt>
                <c:pt idx="71">
                  <c:v>6.8313194797785268</c:v>
                </c:pt>
                <c:pt idx="72">
                  <c:v>6.8331284886404813</c:v>
                </c:pt>
                <c:pt idx="73">
                  <c:v>6.8349375884354426</c:v>
                </c:pt>
                <c:pt idx="74">
                  <c:v>6.8367467791634082</c:v>
                </c:pt>
                <c:pt idx="75">
                  <c:v>6.8385560608243825</c:v>
                </c:pt>
                <c:pt idx="76">
                  <c:v>6.8403654334183592</c:v>
                </c:pt>
                <c:pt idx="77">
                  <c:v>6.8421748969453429</c:v>
                </c:pt>
                <c:pt idx="78">
                  <c:v>6.8439844514053352</c:v>
                </c:pt>
                <c:pt idx="79">
                  <c:v>6.8457940967983308</c:v>
                </c:pt>
                <c:pt idx="80">
                  <c:v>6.8476038331243352</c:v>
                </c:pt>
                <c:pt idx="81">
                  <c:v>6.8494136603833429</c:v>
                </c:pt>
                <c:pt idx="82">
                  <c:v>6.8512235785753566</c:v>
                </c:pt>
                <c:pt idx="83">
                  <c:v>6.853033587700379</c:v>
                </c:pt>
                <c:pt idx="84">
                  <c:v>6.8548436877584047</c:v>
                </c:pt>
                <c:pt idx="85">
                  <c:v>6.8566538787494391</c:v>
                </c:pt>
                <c:pt idx="86">
                  <c:v>6.858464160673476</c:v>
                </c:pt>
                <c:pt idx="87">
                  <c:v>6.8602745335305206</c:v>
                </c:pt>
                <c:pt idx="88">
                  <c:v>6.8620849973205722</c:v>
                </c:pt>
                <c:pt idx="89">
                  <c:v>6.8638955520436289</c:v>
                </c:pt>
                <c:pt idx="90">
                  <c:v>6.8657061976996925</c:v>
                </c:pt>
                <c:pt idx="91">
                  <c:v>6.8675169342887612</c:v>
                </c:pt>
                <c:pt idx="92">
                  <c:v>6.869327761810835</c:v>
                </c:pt>
                <c:pt idx="93">
                  <c:v>6.8711386802659176</c:v>
                </c:pt>
                <c:pt idx="94">
                  <c:v>6.8729496896540043</c:v>
                </c:pt>
                <c:pt idx="95">
                  <c:v>6.8747607899750989</c:v>
                </c:pt>
                <c:pt idx="96">
                  <c:v>6.8765719812291968</c:v>
                </c:pt>
                <c:pt idx="97">
                  <c:v>6.8783832634163016</c:v>
                </c:pt>
                <c:pt idx="98">
                  <c:v>6.8801946365364142</c:v>
                </c:pt>
                <c:pt idx="99">
                  <c:v>6.8820061005895301</c:v>
                </c:pt>
                <c:pt idx="100">
                  <c:v>6.8838176555756547</c:v>
                </c:pt>
                <c:pt idx="101">
                  <c:v>6.8856293014947827</c:v>
                </c:pt>
                <c:pt idx="102">
                  <c:v>6.8874410383469176</c:v>
                </c:pt>
                <c:pt idx="103">
                  <c:v>6.8892528661320602</c:v>
                </c:pt>
                <c:pt idx="104">
                  <c:v>6.8910647848502071</c:v>
                </c:pt>
                <c:pt idx="105">
                  <c:v>6.8928767945013618</c:v>
                </c:pt>
                <c:pt idx="106">
                  <c:v>6.8946888950855207</c:v>
                </c:pt>
                <c:pt idx="107">
                  <c:v>6.8965010866026848</c:v>
                </c:pt>
                <c:pt idx="108">
                  <c:v>6.8983133690528575</c:v>
                </c:pt>
                <c:pt idx="109">
                  <c:v>6.9001257424360345</c:v>
                </c:pt>
                <c:pt idx="110">
                  <c:v>6.9019382067522193</c:v>
                </c:pt>
                <c:pt idx="111">
                  <c:v>6.9037507620014082</c:v>
                </c:pt>
                <c:pt idx="112">
                  <c:v>6.9055634081836033</c:v>
                </c:pt>
                <c:pt idx="113">
                  <c:v>6.9073761452988061</c:v>
                </c:pt>
                <c:pt idx="114">
                  <c:v>6.9091889733470131</c:v>
                </c:pt>
                <c:pt idx="115">
                  <c:v>6.9110018923282279</c:v>
                </c:pt>
                <c:pt idx="116">
                  <c:v>6.912814902242447</c:v>
                </c:pt>
                <c:pt idx="117">
                  <c:v>6.9146280030896721</c:v>
                </c:pt>
                <c:pt idx="118">
                  <c:v>6.9164411948699058</c:v>
                </c:pt>
                <c:pt idx="119">
                  <c:v>6.918254477583142</c:v>
                </c:pt>
                <c:pt idx="120">
                  <c:v>6.9200678512293869</c:v>
                </c:pt>
                <c:pt idx="121">
                  <c:v>6.921881315808637</c:v>
                </c:pt>
                <c:pt idx="122">
                  <c:v>6.9236948713208921</c:v>
                </c:pt>
                <c:pt idx="123">
                  <c:v>6.9255085177661551</c:v>
                </c:pt>
                <c:pt idx="124">
                  <c:v>6.9273222551444231</c:v>
                </c:pt>
                <c:pt idx="125">
                  <c:v>6.9291360834556972</c:v>
                </c:pt>
                <c:pt idx="126">
                  <c:v>6.9309500026999773</c:v>
                </c:pt>
                <c:pt idx="127">
                  <c:v>6.9327640128772625</c:v>
                </c:pt>
                <c:pt idx="128">
                  <c:v>6.9345781139875555</c:v>
                </c:pt>
                <c:pt idx="129">
                  <c:v>6.9363923060308537</c:v>
                </c:pt>
                <c:pt idx="130">
                  <c:v>6.9382065890071587</c:v>
                </c:pt>
                <c:pt idx="131">
                  <c:v>6.9400209629164689</c:v>
                </c:pt>
                <c:pt idx="132">
                  <c:v>6.9418354277587841</c:v>
                </c:pt>
                <c:pt idx="133">
                  <c:v>6.9436499835341072</c:v>
                </c:pt>
                <c:pt idx="134">
                  <c:v>6.9454646302424354</c:v>
                </c:pt>
                <c:pt idx="135">
                  <c:v>6.9472793678837705</c:v>
                </c:pt>
                <c:pt idx="136">
                  <c:v>6.9490941964581108</c:v>
                </c:pt>
                <c:pt idx="137">
                  <c:v>6.9509091159654579</c:v>
                </c:pt>
                <c:pt idx="138">
                  <c:v>6.9527241264058102</c:v>
                </c:pt>
                <c:pt idx="139">
                  <c:v>6.9545392277791676</c:v>
                </c:pt>
                <c:pt idx="140">
                  <c:v>6.9563544200855336</c:v>
                </c:pt>
                <c:pt idx="141">
                  <c:v>6.9581697033249039</c:v>
                </c:pt>
                <c:pt idx="142">
                  <c:v>6.9599850774972811</c:v>
                </c:pt>
                <c:pt idx="143">
                  <c:v>6.9618005426026635</c:v>
                </c:pt>
                <c:pt idx="144">
                  <c:v>6.9636160986410509</c:v>
                </c:pt>
                <c:pt idx="145">
                  <c:v>6.965431745612447</c:v>
                </c:pt>
                <c:pt idx="146">
                  <c:v>6.9672474835168465</c:v>
                </c:pt>
                <c:pt idx="147">
                  <c:v>6.9690633123542547</c:v>
                </c:pt>
                <c:pt idx="148">
                  <c:v>6.9708792321246671</c:v>
                </c:pt>
                <c:pt idx="149">
                  <c:v>6.9726952428280855</c:v>
                </c:pt>
                <c:pt idx="150">
                  <c:v>6.9745113444645117</c:v>
                </c:pt>
                <c:pt idx="151">
                  <c:v>6.9763275370339421</c:v>
                </c:pt>
                <c:pt idx="152">
                  <c:v>6.9781438205363795</c:v>
                </c:pt>
                <c:pt idx="153">
                  <c:v>6.979960194971822</c:v>
                </c:pt>
                <c:pt idx="154">
                  <c:v>6.9817766603402704</c:v>
                </c:pt>
                <c:pt idx="155">
                  <c:v>6.9835932166417258</c:v>
                </c:pt>
                <c:pt idx="156">
                  <c:v>6.9854098638761872</c:v>
                </c:pt>
                <c:pt idx="157">
                  <c:v>6.9872266020436555</c:v>
                </c:pt>
                <c:pt idx="158">
                  <c:v>6.9890434311441272</c:v>
                </c:pt>
                <c:pt idx="159">
                  <c:v>6.9908603511776057</c:v>
                </c:pt>
                <c:pt idx="160">
                  <c:v>6.992677362144093</c:v>
                </c:pt>
                <c:pt idx="161">
                  <c:v>6.9944944640435835</c:v>
                </c:pt>
                <c:pt idx="162">
                  <c:v>6.996311656876081</c:v>
                </c:pt>
                <c:pt idx="163">
                  <c:v>6.9981289406415836</c:v>
                </c:pt>
                <c:pt idx="164">
                  <c:v>6.9999463153400932</c:v>
                </c:pt>
                <c:pt idx="165">
                  <c:v>7.0017637809716096</c:v>
                </c:pt>
                <c:pt idx="166">
                  <c:v>7.0035813375361302</c:v>
                </c:pt>
                <c:pt idx="167">
                  <c:v>7.0053989850336587</c:v>
                </c:pt>
                <c:pt idx="168">
                  <c:v>7.0072167234641913</c:v>
                </c:pt>
                <c:pt idx="169">
                  <c:v>7.00903455282773</c:v>
                </c:pt>
                <c:pt idx="170">
                  <c:v>7.0108524731242774</c:v>
                </c:pt>
                <c:pt idx="171">
                  <c:v>7.0126704843538281</c:v>
                </c:pt>
                <c:pt idx="172">
                  <c:v>7.0144885865163866</c:v>
                </c:pt>
                <c:pt idx="173">
                  <c:v>7.0163067796119494</c:v>
                </c:pt>
                <c:pt idx="174">
                  <c:v>7.0181250636405181</c:v>
                </c:pt>
                <c:pt idx="175">
                  <c:v>7.0199434386020956</c:v>
                </c:pt>
                <c:pt idx="176">
                  <c:v>7.0217619044966764</c:v>
                </c:pt>
                <c:pt idx="177">
                  <c:v>7.0235804613242649</c:v>
                </c:pt>
                <c:pt idx="178">
                  <c:v>7.0253991090848587</c:v>
                </c:pt>
                <c:pt idx="179">
                  <c:v>7.0272178477784575</c:v>
                </c:pt>
                <c:pt idx="180">
                  <c:v>7.029036677405065</c:v>
                </c:pt>
                <c:pt idx="181">
                  <c:v>7.0308555979646759</c:v>
                </c:pt>
                <c:pt idx="182">
                  <c:v>7.0326746094572954</c:v>
                </c:pt>
                <c:pt idx="183">
                  <c:v>7.0344937118829183</c:v>
                </c:pt>
                <c:pt idx="184">
                  <c:v>7.0363129052415481</c:v>
                </c:pt>
                <c:pt idx="185">
                  <c:v>7.0381321895331848</c:v>
                </c:pt>
                <c:pt idx="186">
                  <c:v>7.0399515647578266</c:v>
                </c:pt>
                <c:pt idx="187">
                  <c:v>7.0417710309154753</c:v>
                </c:pt>
                <c:pt idx="188">
                  <c:v>7.0435905880061291</c:v>
                </c:pt>
                <c:pt idx="189">
                  <c:v>7.0454102360297881</c:v>
                </c:pt>
                <c:pt idx="190">
                  <c:v>7.0472299749864558</c:v>
                </c:pt>
                <c:pt idx="191">
                  <c:v>7.0490498048761268</c:v>
                </c:pt>
                <c:pt idx="192">
                  <c:v>7.0508697256988064</c:v>
                </c:pt>
                <c:pt idx="193">
                  <c:v>7.0526897374544903</c:v>
                </c:pt>
                <c:pt idx="194">
                  <c:v>7.0545098401431794</c:v>
                </c:pt>
                <c:pt idx="195">
                  <c:v>7.056330033764878</c:v>
                </c:pt>
                <c:pt idx="196">
                  <c:v>7.0581503183195791</c:v>
                </c:pt>
                <c:pt idx="197">
                  <c:v>7.0599706938072888</c:v>
                </c:pt>
                <c:pt idx="198">
                  <c:v>7.0617911602280028</c:v>
                </c:pt>
                <c:pt idx="199">
                  <c:v>7.0636117175817219</c:v>
                </c:pt>
                <c:pt idx="200">
                  <c:v>7.0654323658684497</c:v>
                </c:pt>
                <c:pt idx="201">
                  <c:v>7.0672531050881817</c:v>
                </c:pt>
                <c:pt idx="202">
                  <c:v>7.0690739352409215</c:v>
                </c:pt>
                <c:pt idx="203">
                  <c:v>7.0708948563266656</c:v>
                </c:pt>
                <c:pt idx="204">
                  <c:v>7.0727158683454157</c:v>
                </c:pt>
                <c:pt idx="205">
                  <c:v>7.0745369712971735</c:v>
                </c:pt>
                <c:pt idx="206">
                  <c:v>7.0763581651819356</c:v>
                </c:pt>
                <c:pt idx="207">
                  <c:v>7.0781794499997055</c:v>
                </c:pt>
                <c:pt idx="208">
                  <c:v>7.0800008257504796</c:v>
                </c:pt>
                <c:pt idx="209">
                  <c:v>7.0818222924342615</c:v>
                </c:pt>
                <c:pt idx="210">
                  <c:v>7.0836438500510477</c:v>
                </c:pt>
                <c:pt idx="211">
                  <c:v>7.0854654986008399</c:v>
                </c:pt>
                <c:pt idx="212">
                  <c:v>7.0872872380836398</c:v>
                </c:pt>
                <c:pt idx="213">
                  <c:v>7.089109068499444</c:v>
                </c:pt>
                <c:pt idx="214">
                  <c:v>7.0909309898482569</c:v>
                </c:pt>
                <c:pt idx="215">
                  <c:v>7.0927530021300722</c:v>
                </c:pt>
                <c:pt idx="216">
                  <c:v>7.0945751053448944</c:v>
                </c:pt>
                <c:pt idx="217">
                  <c:v>7.0963972994927254</c:v>
                </c:pt>
                <c:pt idx="218">
                  <c:v>7.0982195845735596</c:v>
                </c:pt>
                <c:pt idx="219">
                  <c:v>7.1000419605874026</c:v>
                </c:pt>
                <c:pt idx="220">
                  <c:v>7.1018644275342488</c:v>
                </c:pt>
                <c:pt idx="221">
                  <c:v>7.1036869854141012</c:v>
                </c:pt>
                <c:pt idx="222">
                  <c:v>7.1055096342269612</c:v>
                </c:pt>
                <c:pt idx="223">
                  <c:v>7.1073323739728256</c:v>
                </c:pt>
                <c:pt idx="224">
                  <c:v>7.1091552046516986</c:v>
                </c:pt>
                <c:pt idx="225">
                  <c:v>7.1109781262635749</c:v>
                </c:pt>
                <c:pt idx="226">
                  <c:v>7.1128011388084573</c:v>
                </c:pt>
                <c:pt idx="227">
                  <c:v>7.1146242422863484</c:v>
                </c:pt>
                <c:pt idx="228">
                  <c:v>7.1164474366972428</c:v>
                </c:pt>
                <c:pt idx="229">
                  <c:v>7.1182707220411459</c:v>
                </c:pt>
                <c:pt idx="230">
                  <c:v>7.1200940983180523</c:v>
                </c:pt>
                <c:pt idx="231">
                  <c:v>7.1219175655279656</c:v>
                </c:pt>
                <c:pt idx="232">
                  <c:v>7.1237411236708859</c:v>
                </c:pt>
                <c:pt idx="233">
                  <c:v>7.1255647727468112</c:v>
                </c:pt>
                <c:pt idx="234">
                  <c:v>7.1273885127557435</c:v>
                </c:pt>
                <c:pt idx="235">
                  <c:v>7.1292123436976809</c:v>
                </c:pt>
                <c:pt idx="236">
                  <c:v>7.1310362655726234</c:v>
                </c:pt>
                <c:pt idx="237">
                  <c:v>7.1328602783805746</c:v>
                </c:pt>
                <c:pt idx="238">
                  <c:v>7.13468438212153</c:v>
                </c:pt>
                <c:pt idx="239">
                  <c:v>7.1365085767954923</c:v>
                </c:pt>
                <c:pt idx="240">
                  <c:v>7.1383328624024598</c:v>
                </c:pt>
                <c:pt idx="241">
                  <c:v>7.1401572389424333</c:v>
                </c:pt>
                <c:pt idx="242">
                  <c:v>7.1419817064154145</c:v>
                </c:pt>
                <c:pt idx="243">
                  <c:v>7.1438062648214</c:v>
                </c:pt>
                <c:pt idx="244">
                  <c:v>7.1456309141603924</c:v>
                </c:pt>
                <c:pt idx="245">
                  <c:v>7.1474556544323899</c:v>
                </c:pt>
                <c:pt idx="246">
                  <c:v>7.1492804856373935</c:v>
                </c:pt>
                <c:pt idx="247">
                  <c:v>7.1511054077754039</c:v>
                </c:pt>
                <c:pt idx="248">
                  <c:v>7.1529304208464204</c:v>
                </c:pt>
                <c:pt idx="249">
                  <c:v>7.1547555248504437</c:v>
                </c:pt>
                <c:pt idx="250">
                  <c:v>7.1565807197874705</c:v>
                </c:pt>
                <c:pt idx="251">
                  <c:v>7.1584060056575041</c:v>
                </c:pt>
                <c:pt idx="252">
                  <c:v>7.1602313824605455</c:v>
                </c:pt>
                <c:pt idx="253">
                  <c:v>7.1620568501965911</c:v>
                </c:pt>
                <c:pt idx="254">
                  <c:v>7.1638824088656445</c:v>
                </c:pt>
                <c:pt idx="255">
                  <c:v>7.1657080584677022</c:v>
                </c:pt>
                <c:pt idx="256">
                  <c:v>7.1675337990027659</c:v>
                </c:pt>
                <c:pt idx="257">
                  <c:v>7.1693596304708374</c:v>
                </c:pt>
                <c:pt idx="258">
                  <c:v>7.1711855528719131</c:v>
                </c:pt>
                <c:pt idx="259">
                  <c:v>7.1730115662059966</c:v>
                </c:pt>
                <c:pt idx="260">
                  <c:v>7.1748376704730852</c:v>
                </c:pt>
                <c:pt idx="261">
                  <c:v>7.1766638656731789</c:v>
                </c:pt>
                <c:pt idx="262">
                  <c:v>7.1784901518062796</c:v>
                </c:pt>
                <c:pt idx="263">
                  <c:v>7.1803165288723863</c:v>
                </c:pt>
                <c:pt idx="264">
                  <c:v>7.1821429968714998</c:v>
                </c:pt>
                <c:pt idx="265">
                  <c:v>7.1839695558036176</c:v>
                </c:pt>
                <c:pt idx="266">
                  <c:v>7.1857962056687423</c:v>
                </c:pt>
                <c:pt idx="267">
                  <c:v>7.1876229464668739</c:v>
                </c:pt>
                <c:pt idx="268">
                  <c:v>7.1894497781980098</c:v>
                </c:pt>
                <c:pt idx="269">
                  <c:v>7.1912767008621543</c:v>
                </c:pt>
                <c:pt idx="270">
                  <c:v>7.1931037144593013</c:v>
                </c:pt>
                <c:pt idx="271">
                  <c:v>7.1949308189894561</c:v>
                </c:pt>
                <c:pt idx="272">
                  <c:v>7.1967580144526178</c:v>
                </c:pt>
                <c:pt idx="273">
                  <c:v>7.1985853008487846</c:v>
                </c:pt>
                <c:pt idx="274">
                  <c:v>7.2004126781779583</c:v>
                </c:pt>
                <c:pt idx="275">
                  <c:v>7.2022401464401362</c:v>
                </c:pt>
                <c:pt idx="276">
                  <c:v>7.2040677056353211</c:v>
                </c:pt>
                <c:pt idx="277">
                  <c:v>7.2058953557635128</c:v>
                </c:pt>
                <c:pt idx="278">
                  <c:v>7.2077230968247097</c:v>
                </c:pt>
                <c:pt idx="279">
                  <c:v>7.2095509288189135</c:v>
                </c:pt>
                <c:pt idx="280">
                  <c:v>7.2113788517461224</c:v>
                </c:pt>
                <c:pt idx="281">
                  <c:v>7.2132068656063382</c:v>
                </c:pt>
                <c:pt idx="282">
                  <c:v>7.2150349703995591</c:v>
                </c:pt>
                <c:pt idx="283">
                  <c:v>7.216863166125786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AA-41B8-A121-F001C2CA8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601984"/>
        <c:axId val="2127605312"/>
      </c:lineChart>
      <c:dateAx>
        <c:axId val="212760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05312"/>
        <c:crosses val="autoZero"/>
        <c:auto val="1"/>
        <c:lblOffset val="100"/>
        <c:baseTimeUnit val="months"/>
        <c:majorUnit val="40"/>
        <c:majorTimeUnit val="months"/>
      </c:dateAx>
      <c:valAx>
        <c:axId val="2127605312"/>
        <c:scaling>
          <c:orientation val="minMax"/>
          <c:min val="6.6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'dat80'!$N$1</c:f>
              <c:strCache>
                <c:ptCount val="1"/>
                <c:pt idx="0">
                  <c:v>Detrend(Linear)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'dat80'!$N$2:$N$285</c:f>
              <c:numCache>
                <c:formatCode>General</c:formatCode>
                <c:ptCount val="284"/>
                <c:pt idx="0">
                  <c:v>3.5644969209394972E-2</c:v>
                </c:pt>
                <c:pt idx="1">
                  <c:v>-2.0961953792665078E-2</c:v>
                </c:pt>
                <c:pt idx="2">
                  <c:v>8.0322561781551727E-3</c:v>
                </c:pt>
                <c:pt idx="3">
                  <c:v>-4.3544627553284698E-2</c:v>
                </c:pt>
                <c:pt idx="4">
                  <c:v>4.2501354065672459E-2</c:v>
                </c:pt>
                <c:pt idx="5">
                  <c:v>-1.4550148581962574E-2</c:v>
                </c:pt>
                <c:pt idx="6">
                  <c:v>1.5228842663877806E-2</c:v>
                </c:pt>
                <c:pt idx="7">
                  <c:v>-4.6986896175796211E-2</c:v>
                </c:pt>
                <c:pt idx="8">
                  <c:v>4.685438979685852E-2</c:v>
                </c:pt>
                <c:pt idx="9">
                  <c:v>-7.1054978817741699E-3</c:v>
                </c:pt>
                <c:pt idx="10">
                  <c:v>1.5118747131997345E-2</c:v>
                </c:pt>
                <c:pt idx="11">
                  <c:v>-3.9115695516431792E-2</c:v>
                </c:pt>
                <c:pt idx="12">
                  <c:v>4.3051109810308574E-2</c:v>
                </c:pt>
                <c:pt idx="13">
                  <c:v>-1.5584280175031218E-2</c:v>
                </c:pt>
                <c:pt idx="14">
                  <c:v>1.3777930852218567E-2</c:v>
                </c:pt>
                <c:pt idx="15">
                  <c:v>-4.8883459181998212E-2</c:v>
                </c:pt>
                <c:pt idx="16">
                  <c:v>3.8088464707912273E-2</c:v>
                </c:pt>
                <c:pt idx="17">
                  <c:v>-1.5564191293274909E-2</c:v>
                </c:pt>
                <c:pt idx="18">
                  <c:v>6.5164341627115263E-3</c:v>
                </c:pt>
                <c:pt idx="19">
                  <c:v>-4.3675966391771404E-2</c:v>
                </c:pt>
                <c:pt idx="20">
                  <c:v>4.224261710208399E-2</c:v>
                </c:pt>
                <c:pt idx="21">
                  <c:v>-7.2284911691138376E-3</c:v>
                </c:pt>
                <c:pt idx="22">
                  <c:v>1.332316480540463E-2</c:v>
                </c:pt>
                <c:pt idx="23">
                  <c:v>-3.4956791092927375E-2</c:v>
                </c:pt>
                <c:pt idx="24">
                  <c:v>4.9629269649910768E-2</c:v>
                </c:pt>
                <c:pt idx="25">
                  <c:v>-8.555252338806163E-3</c:v>
                </c:pt>
                <c:pt idx="26">
                  <c:v>4.896845619605017E-3</c:v>
                </c:pt>
                <c:pt idx="27">
                  <c:v>-3.978223298455319E-2</c:v>
                </c:pt>
                <c:pt idx="28">
                  <c:v>4.1248578663388713E-2</c:v>
                </c:pt>
                <c:pt idx="29">
                  <c:v>-1.5816749028313204E-2</c:v>
                </c:pt>
                <c:pt idx="30">
                  <c:v>9.2229641024879072E-3</c:v>
                </c:pt>
                <c:pt idx="31">
                  <c:v>-3.615432987479128E-2</c:v>
                </c:pt>
                <c:pt idx="32">
                  <c:v>3.9570569399582922E-2</c:v>
                </c:pt>
                <c:pt idx="33">
                  <c:v>-1.4828346245678858E-2</c:v>
                </c:pt>
                <c:pt idx="34">
                  <c:v>2.2486703357711413E-2</c:v>
                </c:pt>
                <c:pt idx="35">
                  <c:v>-4.7032467034487269E-2</c:v>
                </c:pt>
                <c:pt idx="36">
                  <c:v>4.228145452301213E-2</c:v>
                </c:pt>
                <c:pt idx="37">
                  <c:v>-2.5617183453151782E-2</c:v>
                </c:pt>
                <c:pt idx="38">
                  <c:v>1.9729718789308848E-2</c:v>
                </c:pt>
                <c:pt idx="39">
                  <c:v>-3.278775850303095E-2</c:v>
                </c:pt>
                <c:pt idx="40">
                  <c:v>3.9420404978328882E-2</c:v>
                </c:pt>
                <c:pt idx="41">
                  <c:v>-2.9351339624691164E-2</c:v>
                </c:pt>
                <c:pt idx="42">
                  <c:v>6.834404381545589E-3</c:v>
                </c:pt>
                <c:pt idx="43">
                  <c:v>-3.768797900685783E-2</c:v>
                </c:pt>
                <c:pt idx="44">
                  <c:v>3.9813401649354319E-2</c:v>
                </c:pt>
                <c:pt idx="45">
                  <c:v>-1.9160386362972126E-2</c:v>
                </c:pt>
                <c:pt idx="46">
                  <c:v>1.8302449936884457E-3</c:v>
                </c:pt>
                <c:pt idx="47">
                  <c:v>-4.0243584658950837E-2</c:v>
                </c:pt>
                <c:pt idx="48">
                  <c:v>3.9066585981040625E-2</c:v>
                </c:pt>
                <c:pt idx="49">
                  <c:v>-1.1538952360768739E-2</c:v>
                </c:pt>
                <c:pt idx="50">
                  <c:v>1.4658709694527872E-2</c:v>
                </c:pt>
                <c:pt idx="51">
                  <c:v>-2.8899893517422726E-2</c:v>
                </c:pt>
                <c:pt idx="52">
                  <c:v>4.0425832335440504E-2</c:v>
                </c:pt>
                <c:pt idx="53">
                  <c:v>-9.7506135303575547E-3</c:v>
                </c:pt>
                <c:pt idx="54">
                  <c:v>1.2906868815992567E-2</c:v>
                </c:pt>
                <c:pt idx="55">
                  <c:v>-3.6161390206929767E-2</c:v>
                </c:pt>
                <c:pt idx="56">
                  <c:v>4.9130614146420726E-2</c:v>
                </c:pt>
                <c:pt idx="57">
                  <c:v>-1.9266902606951852E-2</c:v>
                </c:pt>
                <c:pt idx="58">
                  <c:v>1.3571631551556607E-4</c:v>
                </c:pt>
                <c:pt idx="59">
                  <c:v>-4.3422886896436808E-2</c:v>
                </c:pt>
                <c:pt idx="60">
                  <c:v>3.7636306904293093E-2</c:v>
                </c:pt>
                <c:pt idx="61">
                  <c:v>-1.642163162668453E-2</c:v>
                </c:pt>
                <c:pt idx="62">
                  <c:v>1.2568510428934587E-2</c:v>
                </c:pt>
                <c:pt idx="63">
                  <c:v>-3.1288453238365044E-2</c:v>
                </c:pt>
                <c:pt idx="64">
                  <c:v>4.6156305552190524E-2</c:v>
                </c:pt>
                <c:pt idx="65">
                  <c:v>-1.4784293174061602E-2</c:v>
                </c:pt>
                <c:pt idx="66">
                  <c:v>1.1786518050413974E-2</c:v>
                </c:pt>
                <c:pt idx="67">
                  <c:v>-3.0671462355791768E-2</c:v>
                </c:pt>
                <c:pt idx="68">
                  <c:v>4.8245526345117362E-2</c:v>
                </c:pt>
                <c:pt idx="69">
                  <c:v>-1.6523964679260317E-2</c:v>
                </c:pt>
                <c:pt idx="70">
                  <c:v>1.0962811835756092E-2</c:v>
                </c:pt>
                <c:pt idx="71">
                  <c:v>-3.4575373350451244E-2</c:v>
                </c:pt>
                <c:pt idx="72">
                  <c:v>4.4081605699744841E-2</c:v>
                </c:pt>
                <c:pt idx="73">
                  <c:v>-2.4887389854924891E-2</c:v>
                </c:pt>
                <c:pt idx="74">
                  <c:v>9.0346611216132189E-3</c:v>
                </c:pt>
                <c:pt idx="75">
                  <c:v>-3.0725644614888026E-2</c:v>
                </c:pt>
                <c:pt idx="76">
                  <c:v>3.8879841973248119E-2</c:v>
                </c:pt>
                <c:pt idx="77">
                  <c:v>-2.8148984307252434E-3</c:v>
                </c:pt>
                <c:pt idx="78">
                  <c:v>2.3867698138348992E-2</c:v>
                </c:pt>
                <c:pt idx="79">
                  <c:v>-2.8091513550171143E-2</c:v>
                </c:pt>
                <c:pt idx="80">
                  <c:v>4.4904181995391035E-2</c:v>
                </c:pt>
                <c:pt idx="81">
                  <c:v>-1.3293556072006218E-2</c:v>
                </c:pt>
                <c:pt idx="82">
                  <c:v>9.2954639268363337E-3</c:v>
                </c:pt>
                <c:pt idx="83">
                  <c:v>-3.8640684433869588E-2</c:v>
                </c:pt>
                <c:pt idx="84">
                  <c:v>3.6626941186048256E-2</c:v>
                </c:pt>
                <c:pt idx="85">
                  <c:v>-1.4131047800158392E-2</c:v>
                </c:pt>
                <c:pt idx="86">
                  <c:v>9.3447047593349097E-3</c:v>
                </c:pt>
                <c:pt idx="87">
                  <c:v>-3.0651340870909927E-2</c:v>
                </c:pt>
                <c:pt idx="88">
                  <c:v>4.0482284602882501E-2</c:v>
                </c:pt>
                <c:pt idx="89">
                  <c:v>-1.7132687142708214E-2</c:v>
                </c:pt>
                <c:pt idx="90">
                  <c:v>1.757138551262738E-2</c:v>
                </c:pt>
                <c:pt idx="91">
                  <c:v>-3.3597836259001923E-2</c:v>
                </c:pt>
                <c:pt idx="92">
                  <c:v>3.6231327066246877E-2</c:v>
                </c:pt>
                <c:pt idx="93">
                  <c:v>-7.5339319646401393E-3</c:v>
                </c:pt>
                <c:pt idx="94">
                  <c:v>1.2356972444846015E-2</c:v>
                </c:pt>
                <c:pt idx="95">
                  <c:v>-4.4093837116167656E-2</c:v>
                </c:pt>
                <c:pt idx="96">
                  <c:v>3.6953904724960296E-2</c:v>
                </c:pt>
                <c:pt idx="97">
                  <c:v>-1.688747962637116E-2</c:v>
                </c:pt>
                <c:pt idx="98">
                  <c:v>1.5268503468391259E-2</c:v>
                </c:pt>
                <c:pt idx="99">
                  <c:v>-4.2753130223011304E-2</c:v>
                </c:pt>
                <c:pt idx="100">
                  <c:v>3.761324152689749E-2</c:v>
                </c:pt>
                <c:pt idx="101">
                  <c:v>-1.2696482584090951E-2</c:v>
                </c:pt>
                <c:pt idx="102">
                  <c:v>1.1038843361004247E-2</c:v>
                </c:pt>
                <c:pt idx="103">
                  <c:v>-4.2547925555981969E-2</c:v>
                </c:pt>
                <c:pt idx="104">
                  <c:v>2.5408581039870093E-2</c:v>
                </c:pt>
                <c:pt idx="105">
                  <c:v>-1.9957979273596216E-2</c:v>
                </c:pt>
                <c:pt idx="106">
                  <c:v>1.6810112593183213E-2</c:v>
                </c:pt>
                <c:pt idx="107">
                  <c:v>-2.7738111165161783E-2</c:v>
                </c:pt>
                <c:pt idx="108">
                  <c:v>3.9716548013716491E-2</c:v>
                </c:pt>
                <c:pt idx="109">
                  <c:v>-2.102750571518186E-2</c:v>
                </c:pt>
                <c:pt idx="110">
                  <c:v>1.451633600561042E-2</c:v>
                </c:pt>
                <c:pt idx="111">
                  <c:v>-4.0210667067420935E-2</c:v>
                </c:pt>
                <c:pt idx="112">
                  <c:v>2.0747600529974264E-2</c:v>
                </c:pt>
                <c:pt idx="113">
                  <c:v>-2.3158154822345622E-2</c:v>
                </c:pt>
                <c:pt idx="114">
                  <c:v>8.2454287977995477E-3</c:v>
                </c:pt>
                <c:pt idx="115">
                  <c:v>-3.3979483712451852E-2</c:v>
                </c:pt>
                <c:pt idx="116">
                  <c:v>4.1547935498729593E-2</c:v>
                </c:pt>
                <c:pt idx="117">
                  <c:v>-1.1159045970036807E-2</c:v>
                </c:pt>
                <c:pt idx="118">
                  <c:v>1.8648768288097806E-2</c:v>
                </c:pt>
                <c:pt idx="119">
                  <c:v>-3.7125748256852553E-2</c:v>
                </c:pt>
                <c:pt idx="120">
                  <c:v>3.2376218553103797E-2</c:v>
                </c:pt>
                <c:pt idx="121">
                  <c:v>-1.5413021595588106E-2</c:v>
                </c:pt>
                <c:pt idx="122">
                  <c:v>1.6239294703121132E-2</c:v>
                </c:pt>
                <c:pt idx="123">
                  <c:v>-2.8093605460258964E-2</c:v>
                </c:pt>
                <c:pt idx="124">
                  <c:v>3.5576063108965883E-2</c:v>
                </c:pt>
                <c:pt idx="125">
                  <c:v>-1.7681996681973011E-2</c:v>
                </c:pt>
                <c:pt idx="126">
                  <c:v>6.0694101176572701E-3</c:v>
                </c:pt>
                <c:pt idx="127">
                  <c:v>-2.9312787693803521E-2</c:v>
                </c:pt>
                <c:pt idx="128">
                  <c:v>3.397495889116886E-2</c:v>
                </c:pt>
                <c:pt idx="129">
                  <c:v>-6.1960276715282703E-3</c:v>
                </c:pt>
                <c:pt idx="130">
                  <c:v>1.7086440600765584E-2</c:v>
                </c:pt>
                <c:pt idx="131">
                  <c:v>-3.356676331935482E-2</c:v>
                </c:pt>
                <c:pt idx="132">
                  <c:v>3.3277011315667515E-2</c:v>
                </c:pt>
                <c:pt idx="133">
                  <c:v>-1.5414472147996072E-2</c:v>
                </c:pt>
                <c:pt idx="134">
                  <c:v>1.6475799781168199E-2</c:v>
                </c:pt>
                <c:pt idx="135">
                  <c:v>-2.3954410518988389E-2</c:v>
                </c:pt>
                <c:pt idx="136">
                  <c:v>3.9014769169800623E-2</c:v>
                </c:pt>
                <c:pt idx="137">
                  <c:v>-1.5843340987058419E-2</c:v>
                </c:pt>
                <c:pt idx="138">
                  <c:v>6.5504969599139429E-4</c:v>
                </c:pt>
                <c:pt idx="139">
                  <c:v>-3.1215907208493654E-2</c:v>
                </c:pt>
                <c:pt idx="140">
                  <c:v>3.9106246785552301E-2</c:v>
                </c:pt>
                <c:pt idx="141">
                  <c:v>-1.5352860872247298E-2</c:v>
                </c:pt>
                <c:pt idx="142">
                  <c:v>3.844954554193869E-3</c:v>
                </c:pt>
                <c:pt idx="143">
                  <c:v>-2.770882210787029E-2</c:v>
                </c:pt>
                <c:pt idx="144">
                  <c:v>3.184475009604526E-2</c:v>
                </c:pt>
                <c:pt idx="145">
                  <c:v>-1.77997117662132E-2</c:v>
                </c:pt>
                <c:pt idx="146">
                  <c:v>1.5310596915384167E-2</c:v>
                </c:pt>
                <c:pt idx="147">
                  <c:v>-3.6919637153426166E-2</c:v>
                </c:pt>
                <c:pt idx="148">
                  <c:v>3.6417711053540636E-2</c:v>
                </c:pt>
                <c:pt idx="149">
                  <c:v>-2.0269632445819141E-2</c:v>
                </c:pt>
                <c:pt idx="150">
                  <c:v>8.9763140150695975E-3</c:v>
                </c:pt>
                <c:pt idx="151">
                  <c:v>-2.7731803102129859E-2</c:v>
                </c:pt>
                <c:pt idx="152">
                  <c:v>2.6437590125039989E-2</c:v>
                </c:pt>
                <c:pt idx="153">
                  <c:v>-1.3292635146211929E-2</c:v>
                </c:pt>
                <c:pt idx="154">
                  <c:v>1.6434494318029458E-2</c:v>
                </c:pt>
                <c:pt idx="155">
                  <c:v>-3.4034067104176557E-2</c:v>
                </c:pt>
                <c:pt idx="156">
                  <c:v>3.3590757437719887E-2</c:v>
                </c:pt>
                <c:pt idx="157">
                  <c:v>-1.1173200001953099E-2</c:v>
                </c:pt>
                <c:pt idx="158">
                  <c:v>7.3448435544598567E-3</c:v>
                </c:pt>
                <c:pt idx="159">
                  <c:v>-3.2703625496798949E-2</c:v>
                </c:pt>
                <c:pt idx="160">
                  <c:v>3.4347121072944908E-2</c:v>
                </c:pt>
                <c:pt idx="161">
                  <c:v>-1.4706826577445931E-2</c:v>
                </c:pt>
                <c:pt idx="162">
                  <c:v>1.0097085525454297E-2</c:v>
                </c:pt>
                <c:pt idx="163">
                  <c:v>-2.3934604458916375E-2</c:v>
                </c:pt>
                <c:pt idx="164">
                  <c:v>3.062858645978217E-2</c:v>
                </c:pt>
                <c:pt idx="165">
                  <c:v>-1.9181512359773834E-2</c:v>
                </c:pt>
                <c:pt idx="166">
                  <c:v>7.3543493492760348E-3</c:v>
                </c:pt>
                <c:pt idx="167">
                  <c:v>-3.400640744767891E-2</c:v>
                </c:pt>
                <c:pt idx="168">
                  <c:v>3.0415577101336133E-2</c:v>
                </c:pt>
                <c:pt idx="169">
                  <c:v>-9.8832930102616956E-3</c:v>
                </c:pt>
                <c:pt idx="170">
                  <c:v>9.0695736213266542E-3</c:v>
                </c:pt>
                <c:pt idx="171">
                  <c:v>-3.0073757394033507E-2</c:v>
                </c:pt>
                <c:pt idx="172">
                  <c:v>3.7103739920540946E-2</c:v>
                </c:pt>
                <c:pt idx="173">
                  <c:v>-1.3501798421266642E-2</c:v>
                </c:pt>
                <c:pt idx="174">
                  <c:v>1.6005298535398005E-2</c:v>
                </c:pt>
                <c:pt idx="175">
                  <c:v>-2.7182882619522175E-2</c:v>
                </c:pt>
                <c:pt idx="176">
                  <c:v>3.0707669507465063E-2</c:v>
                </c:pt>
                <c:pt idx="177">
                  <c:v>-2.0763295110773683E-2</c:v>
                </c:pt>
                <c:pt idx="178">
                  <c:v>7.826806300235134E-4</c:v>
                </c:pt>
                <c:pt idx="179">
                  <c:v>-3.8124236267429445E-2</c:v>
                </c:pt>
                <c:pt idx="180">
                  <c:v>3.120148958543556E-2</c:v>
                </c:pt>
                <c:pt idx="181">
                  <c:v>-1.9876263236374925E-2</c:v>
                </c:pt>
                <c:pt idx="182">
                  <c:v>8.5060390356908044E-3</c:v>
                </c:pt>
                <c:pt idx="183">
                  <c:v>-3.0746862208815173E-2</c:v>
                </c:pt>
                <c:pt idx="184">
                  <c:v>3.9272490874514787E-2</c:v>
                </c:pt>
                <c:pt idx="185">
                  <c:v>-8.3788355698635186E-3</c:v>
                </c:pt>
                <c:pt idx="186">
                  <c:v>1.85910310700379E-2</c:v>
                </c:pt>
                <c:pt idx="187">
                  <c:v>-2.7168144345457002E-2</c:v>
                </c:pt>
                <c:pt idx="188">
                  <c:v>3.6228630129211403E-2</c:v>
                </c:pt>
                <c:pt idx="189">
                  <c:v>-1.7411811907751762E-2</c:v>
                </c:pt>
                <c:pt idx="190">
                  <c:v>1.1329534380532635E-2</c:v>
                </c:pt>
                <c:pt idx="191">
                  <c:v>-2.2817183610873037E-2</c:v>
                </c:pt>
                <c:pt idx="192">
                  <c:v>3.1489202872413635E-2</c:v>
                </c:pt>
                <c:pt idx="193">
                  <c:v>-9.7148246669211957E-3</c:v>
                </c:pt>
                <c:pt idx="194">
                  <c:v>1.0923248770078331E-2</c:v>
                </c:pt>
                <c:pt idx="195">
                  <c:v>-2.1236889718919016E-2</c:v>
                </c:pt>
                <c:pt idx="196">
                  <c:v>3.6743514114737863E-2</c:v>
                </c:pt>
                <c:pt idx="197">
                  <c:v>-1.1749828622885872E-2</c:v>
                </c:pt>
                <c:pt idx="198">
                  <c:v>4.5153586198116713E-3</c:v>
                </c:pt>
                <c:pt idx="199">
                  <c:v>-3.0260501401826012E-2</c:v>
                </c:pt>
                <c:pt idx="200">
                  <c:v>3.4444806767361058E-2</c:v>
                </c:pt>
                <c:pt idx="201">
                  <c:v>-1.208489069452412E-2</c:v>
                </c:pt>
                <c:pt idx="202">
                  <c:v>9.9712864030152559E-3</c:v>
                </c:pt>
                <c:pt idx="203">
                  <c:v>-3.3122518931848255E-2</c:v>
                </c:pt>
                <c:pt idx="204">
                  <c:v>3.2942272929865624E-2</c:v>
                </c:pt>
                <c:pt idx="205">
                  <c:v>-2.4536710454723831E-2</c:v>
                </c:pt>
                <c:pt idx="206">
                  <c:v>-6.6574091777305E-4</c:v>
                </c:pt>
                <c:pt idx="207">
                  <c:v>-3.3384861939164345E-2</c:v>
                </c:pt>
                <c:pt idx="208">
                  <c:v>3.4664095125550354E-2</c:v>
                </c:pt>
                <c:pt idx="209">
                  <c:v>-4.4226738440586999E-3</c:v>
                </c:pt>
                <c:pt idx="210">
                  <c:v>1.5465641967426613E-2</c:v>
                </c:pt>
                <c:pt idx="211">
                  <c:v>-3.2830426525719325E-2</c:v>
                </c:pt>
                <c:pt idx="212">
                  <c:v>3.9523958968388229E-2</c:v>
                </c:pt>
                <c:pt idx="213">
                  <c:v>-9.9978294931286626E-3</c:v>
                </c:pt>
                <c:pt idx="214">
                  <c:v>1.5761176995061632E-3</c:v>
                </c:pt>
                <c:pt idx="215">
                  <c:v>-3.2336606447748828E-2</c:v>
                </c:pt>
                <c:pt idx="216">
                  <c:v>3.1458926679198029E-2</c:v>
                </c:pt>
                <c:pt idx="217">
                  <c:v>-5.5338987123185746E-3</c:v>
                </c:pt>
                <c:pt idx="218">
                  <c:v>1.1620368107592149E-2</c:v>
                </c:pt>
                <c:pt idx="219">
                  <c:v>-2.595765293969432E-2</c:v>
                </c:pt>
                <c:pt idx="220">
                  <c:v>2.5803856037966533E-2</c:v>
                </c:pt>
                <c:pt idx="221">
                  <c:v>-6.983838987048685E-3</c:v>
                </c:pt>
                <c:pt idx="222">
                  <c:v>1.2495612811147083E-2</c:v>
                </c:pt>
                <c:pt idx="223">
                  <c:v>-2.8994386268892391E-2</c:v>
                </c:pt>
                <c:pt idx="224">
                  <c:v>2.7331868591308428E-2</c:v>
                </c:pt>
                <c:pt idx="225">
                  <c:v>-1.1764970618224346E-2</c:v>
                </c:pt>
                <c:pt idx="226">
                  <c:v>8.4703649008481818E-3</c:v>
                </c:pt>
                <c:pt idx="227">
                  <c:v>-3.2048893160768976E-2</c:v>
                </c:pt>
                <c:pt idx="228">
                  <c:v>2.5623738018357045E-2</c:v>
                </c:pt>
                <c:pt idx="229">
                  <c:v>-1.0802736750118669E-2</c:v>
                </c:pt>
                <c:pt idx="230">
                  <c:v>1.2453966626843282E-2</c:v>
                </c:pt>
                <c:pt idx="231">
                  <c:v>-2.9285243230897429E-2</c:v>
                </c:pt>
                <c:pt idx="232">
                  <c:v>2.7027124214573206E-2</c:v>
                </c:pt>
                <c:pt idx="233">
                  <c:v>-9.0955634568654631E-3</c:v>
                </c:pt>
                <c:pt idx="234">
                  <c:v>1.3147961378452422E-2</c:v>
                </c:pt>
                <c:pt idx="235">
                  <c:v>-3.405607860795179E-2</c:v>
                </c:pt>
                <c:pt idx="236">
                  <c:v>2.6020534548176322E-2</c:v>
                </c:pt>
                <c:pt idx="237">
                  <c:v>-4.2552585597990245E-3</c:v>
                </c:pt>
                <c:pt idx="238">
                  <c:v>1.4565020145194119E-2</c:v>
                </c:pt>
                <c:pt idx="239">
                  <c:v>-2.5685829605762933E-2</c:v>
                </c:pt>
                <c:pt idx="240">
                  <c:v>3.1152689913632514E-2</c:v>
                </c:pt>
                <c:pt idx="241">
                  <c:v>-6.7167460332742124E-3</c:v>
                </c:pt>
                <c:pt idx="242">
                  <c:v>2.5791052194188424E-3</c:v>
                </c:pt>
                <c:pt idx="243">
                  <c:v>-3.2131332777940003E-2</c:v>
                </c:pt>
                <c:pt idx="244">
                  <c:v>2.7732919040126092E-2</c:v>
                </c:pt>
                <c:pt idx="245">
                  <c:v>-1.7976648689476349E-2</c:v>
                </c:pt>
                <c:pt idx="246">
                  <c:v>7.0870656893884387E-3</c:v>
                </c:pt>
                <c:pt idx="247">
                  <c:v>-2.7232160758996926E-2</c:v>
                </c:pt>
                <c:pt idx="248">
                  <c:v>2.5825163627720471E-2</c:v>
                </c:pt>
                <c:pt idx="249">
                  <c:v>-1.964484274247269E-2</c:v>
                </c:pt>
                <c:pt idx="250">
                  <c:v>7.5956158618133429E-3</c:v>
                </c:pt>
                <c:pt idx="251">
                  <c:v>-1.771339955195117E-2</c:v>
                </c:pt>
                <c:pt idx="252">
                  <c:v>2.388889823696605E-2</c:v>
                </c:pt>
                <c:pt idx="253">
                  <c:v>-7.9633894190207499E-3</c:v>
                </c:pt>
                <c:pt idx="254">
                  <c:v>1.4932918593460798E-2</c:v>
                </c:pt>
                <c:pt idx="255">
                  <c:v>-2.6560939397092476E-2</c:v>
                </c:pt>
                <c:pt idx="256">
                  <c:v>2.5690907700806065E-2</c:v>
                </c:pt>
                <c:pt idx="257">
                  <c:v>-1.3662385790636833E-2</c:v>
                </c:pt>
                <c:pt idx="258">
                  <c:v>6.9083543354508947E-3</c:v>
                </c:pt>
                <c:pt idx="259">
                  <c:v>-2.6704968317735833E-2</c:v>
                </c:pt>
                <c:pt idx="260">
                  <c:v>3.3355061227974936E-2</c:v>
                </c:pt>
                <c:pt idx="261">
                  <c:v>-1.005421024323816E-2</c:v>
                </c:pt>
                <c:pt idx="262">
                  <c:v>1.0277177947700444E-2</c:v>
                </c:pt>
                <c:pt idx="263">
                  <c:v>-2.1436935392309842E-2</c:v>
                </c:pt>
                <c:pt idx="264">
                  <c:v>2.8313321276780101E-2</c:v>
                </c:pt>
                <c:pt idx="265">
                  <c:v>-5.7992648711859829E-3</c:v>
                </c:pt>
                <c:pt idx="266">
                  <c:v>8.2887631563517417E-3</c:v>
                </c:pt>
                <c:pt idx="267">
                  <c:v>-3.3378627832294505E-2</c:v>
                </c:pt>
                <c:pt idx="268">
                  <c:v>2.5476610567630509E-2</c:v>
                </c:pt>
                <c:pt idx="269">
                  <c:v>-9.251233144024873E-3</c:v>
                </c:pt>
                <c:pt idx="270">
                  <c:v>1.0002644594970356E-2</c:v>
                </c:pt>
                <c:pt idx="271">
                  <c:v>-2.1282183614044214E-2</c:v>
                </c:pt>
                <c:pt idx="272">
                  <c:v>2.6276718549151035E-2</c:v>
                </c:pt>
                <c:pt idx="273">
                  <c:v>-5.170453229597527E-3</c:v>
                </c:pt>
                <c:pt idx="274">
                  <c:v>1.2374419882566379E-2</c:v>
                </c:pt>
                <c:pt idx="275">
                  <c:v>-2.2427453286115728E-2</c:v>
                </c:pt>
                <c:pt idx="276">
                  <c:v>2.9904621658912056E-2</c:v>
                </c:pt>
                <c:pt idx="277">
                  <c:v>-6.4349304467308244E-3</c:v>
                </c:pt>
                <c:pt idx="278">
                  <c:v>1.2460494823455903E-2</c:v>
                </c:pt>
                <c:pt idx="279">
                  <c:v>-2.2852614957331596E-2</c:v>
                </c:pt>
                <c:pt idx="280">
                  <c:v>3.3415221951315743E-2</c:v>
                </c:pt>
                <c:pt idx="281">
                  <c:v>-6.9924914140475636E-3</c:v>
                </c:pt>
                <c:pt idx="282">
                  <c:v>1.0310363771184328E-2</c:v>
                </c:pt>
                <c:pt idx="283">
                  <c:v>-2.709067774884133E-2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F-4F9B-8D14-67A02CC3F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629024"/>
        <c:axId val="2127629856"/>
      </c:lineChart>
      <c:dateAx>
        <c:axId val="212762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29856"/>
        <c:crosses val="autoZero"/>
        <c:auto val="1"/>
        <c:lblOffset val="100"/>
        <c:baseTimeUnit val="months"/>
        <c:majorUnit val="40"/>
        <c:majorTimeUnit val="months"/>
      </c:dateAx>
      <c:valAx>
        <c:axId val="21276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Detrend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2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Cycle(LOG)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'dat80'!$O$1</c:f>
              <c:strCache>
                <c:ptCount val="1"/>
                <c:pt idx="0">
                  <c:v>Cycle 80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'dat80'!$O$2:$O$285</c:f>
              <c:numCache>
                <c:formatCode>General</c:formatCode>
                <c:ptCount val="284"/>
                <c:pt idx="2">
                  <c:v>4.3343996214545658E-3</c:v>
                </c:pt>
                <c:pt idx="3">
                  <c:v>-5.7046239368169441E-3</c:v>
                </c:pt>
                <c:pt idx="4">
                  <c:v>1.533535354491633E-3</c:v>
                </c:pt>
                <c:pt idx="5">
                  <c:v>-9.4702951162986444E-3</c:v>
                </c:pt>
                <c:pt idx="6">
                  <c:v>8.6095083537300002E-3</c:v>
                </c:pt>
                <c:pt idx="7">
                  <c:v>-1.3118620357593258E-3</c:v>
                </c:pt>
                <c:pt idx="8">
                  <c:v>4.6219171070326585E-3</c:v>
                </c:pt>
                <c:pt idx="9">
                  <c:v>-6.2469905290292614E-3</c:v>
                </c:pt>
                <c:pt idx="10">
                  <c:v>1.1760610668191696E-2</c:v>
                </c:pt>
                <c:pt idx="11">
                  <c:v>-7.2712332618625193E-4</c:v>
                </c:pt>
                <c:pt idx="12">
                  <c:v>3.4495624206122956E-3</c:v>
                </c:pt>
                <c:pt idx="13">
                  <c:v>-9.3508788421868168E-3</c:v>
                </c:pt>
                <c:pt idx="14">
                  <c:v>6.0899532026819966E-3</c:v>
                </c:pt>
                <c:pt idx="15">
                  <c:v>-5.6331070180346996E-3</c:v>
                </c:pt>
                <c:pt idx="16">
                  <c:v>-1.2129641504861511E-3</c:v>
                </c:pt>
                <c:pt idx="17">
                  <c:v>-1.2703743599284145E-2</c:v>
                </c:pt>
                <c:pt idx="18">
                  <c:v>5.5214716575322951E-3</c:v>
                </c:pt>
                <c:pt idx="19">
                  <c:v>-3.541919517872927E-3</c:v>
                </c:pt>
                <c:pt idx="20">
                  <c:v>2.235551701862981E-3</c:v>
                </c:pt>
                <c:pt idx="21">
                  <c:v>-6.0590933492647991E-3</c:v>
                </c:pt>
                <c:pt idx="22">
                  <c:v>1.2601953859071636E-2</c:v>
                </c:pt>
                <c:pt idx="23">
                  <c:v>2.4423799708936044E-3</c:v>
                </c:pt>
                <c:pt idx="24">
                  <c:v>4.8674473286373756E-3</c:v>
                </c:pt>
                <c:pt idx="25">
                  <c:v>-5.7536322293541883E-3</c:v>
                </c:pt>
                <c:pt idx="26">
                  <c:v>9.4874417219090283E-3</c:v>
                </c:pt>
                <c:pt idx="27">
                  <c:v>-3.6017620137357652E-3</c:v>
                </c:pt>
                <c:pt idx="28">
                  <c:v>-4.6118725476951281E-5</c:v>
                </c:pt>
                <c:pt idx="29">
                  <c:v>-8.256353824356211E-3</c:v>
                </c:pt>
                <c:pt idx="30">
                  <c:v>7.6142066524710113E-3</c:v>
                </c:pt>
                <c:pt idx="31">
                  <c:v>-3.6011783293425025E-3</c:v>
                </c:pt>
                <c:pt idx="32">
                  <c:v>4.0595121478624206E-3</c:v>
                </c:pt>
                <c:pt idx="33">
                  <c:v>-7.1915740795326141E-3</c:v>
                </c:pt>
                <c:pt idx="34">
                  <c:v>8.4955828000280679E-3</c:v>
                </c:pt>
                <c:pt idx="35">
                  <c:v>-4.5419677705188736E-3</c:v>
                </c:pt>
                <c:pt idx="36">
                  <c:v>2.3696452364786679E-3</c:v>
                </c:pt>
                <c:pt idx="37">
                  <c:v>-8.6852471356698054E-3</c:v>
                </c:pt>
                <c:pt idx="38">
                  <c:v>8.6053272668934252E-3</c:v>
                </c:pt>
                <c:pt idx="39">
                  <c:v>-5.7212315626472329E-3</c:v>
                </c:pt>
                <c:pt idx="40">
                  <c:v>7.6908600429224092E-4</c:v>
                </c:pt>
                <c:pt idx="41">
                  <c:v>-1.0714453554941095E-2</c:v>
                </c:pt>
                <c:pt idx="42">
                  <c:v>3.8057784755359592E-3</c:v>
                </c:pt>
                <c:pt idx="43">
                  <c:v>-7.9103797927242425E-3</c:v>
                </c:pt>
                <c:pt idx="44">
                  <c:v>-1.6740628690483205E-3</c:v>
                </c:pt>
                <c:pt idx="45">
                  <c:v>-1.1089660677147607E-2</c:v>
                </c:pt>
                <c:pt idx="46">
                  <c:v>4.2612523204320855E-3</c:v>
                </c:pt>
                <c:pt idx="47">
                  <c:v>-6.0092184815925265E-3</c:v>
                </c:pt>
                <c:pt idx="48">
                  <c:v>7.5460072990747302E-4</c:v>
                </c:pt>
                <c:pt idx="49">
                  <c:v>-5.3914269723147612E-3</c:v>
                </c:pt>
                <c:pt idx="50">
                  <c:v>1.0742456426563508E-2</c:v>
                </c:pt>
                <c:pt idx="51">
                  <c:v>9.7901652428387118E-4</c:v>
                </c:pt>
                <c:pt idx="52">
                  <c:v>5.8681807596361324E-3</c:v>
                </c:pt>
                <c:pt idx="53">
                  <c:v>-4.2958392206553951E-3</c:v>
                </c:pt>
                <c:pt idx="54">
                  <c:v>1.1310262312113295E-2</c:v>
                </c:pt>
                <c:pt idx="55">
                  <c:v>-6.2828467636517611E-4</c:v>
                </c:pt>
                <c:pt idx="56">
                  <c:v>1.3489812928094481E-3</c:v>
                </c:pt>
                <c:pt idx="57">
                  <c:v>-9.9169698496764276E-3</c:v>
                </c:pt>
                <c:pt idx="58">
                  <c:v>4.8425695725681454E-3</c:v>
                </c:pt>
                <c:pt idx="59">
                  <c:v>-8.2678795820529064E-3</c:v>
                </c:pt>
                <c:pt idx="60">
                  <c:v>-1.9007969748756181E-3</c:v>
                </c:pt>
                <c:pt idx="61">
                  <c:v>-8.1856308856517405E-3</c:v>
                </c:pt>
                <c:pt idx="62">
                  <c:v>9.7302076040737262E-3</c:v>
                </c:pt>
                <c:pt idx="63">
                  <c:v>-7.5391241159721294E-4</c:v>
                </c:pt>
                <c:pt idx="64">
                  <c:v>4.8877175238224877E-3</c:v>
                </c:pt>
                <c:pt idx="65">
                  <c:v>-3.760277033122783E-3</c:v>
                </c:pt>
                <c:pt idx="66">
                  <c:v>1.2146518883573699E-2</c:v>
                </c:pt>
                <c:pt idx="67">
                  <c:v>-3.8953516271647006E-4</c:v>
                </c:pt>
                <c:pt idx="68">
                  <c:v>4.7598858392470687E-3</c:v>
                </c:pt>
                <c:pt idx="69">
                  <c:v>-4.5124924409259744E-3</c:v>
                </c:pt>
                <c:pt idx="70">
                  <c:v>1.0438121170181346E-2</c:v>
                </c:pt>
                <c:pt idx="71">
                  <c:v>-4.1884620698271037E-3</c:v>
                </c:pt>
                <c:pt idx="72">
                  <c:v>9.2326309034760354E-4</c:v>
                </c:pt>
                <c:pt idx="73">
                  <c:v>-7.41442819978122E-3</c:v>
                </c:pt>
                <c:pt idx="74">
                  <c:v>7.2766148649586523E-3</c:v>
                </c:pt>
                <c:pt idx="75">
                  <c:v>-2.1026859611353644E-3</c:v>
                </c:pt>
                <c:pt idx="76">
                  <c:v>7.6483316375194118E-3</c:v>
                </c:pt>
                <c:pt idx="77">
                  <c:v>2.2309670316253972E-4</c:v>
                </c:pt>
                <c:pt idx="78">
                  <c:v>1.5349062025218352E-2</c:v>
                </c:pt>
                <c:pt idx="79">
                  <c:v>4.9143824161674843E-3</c:v>
                </c:pt>
                <c:pt idx="80">
                  <c:v>7.3364548876797995E-3</c:v>
                </c:pt>
                <c:pt idx="81">
                  <c:v>-5.1652216267639162E-3</c:v>
                </c:pt>
                <c:pt idx="82">
                  <c:v>7.7784693204799634E-3</c:v>
                </c:pt>
                <c:pt idx="83">
                  <c:v>-4.0285766386299214E-3</c:v>
                </c:pt>
                <c:pt idx="84">
                  <c:v>4.9907552763830412E-4</c:v>
                </c:pt>
                <c:pt idx="85">
                  <c:v>-7.4902854319109482E-3</c:v>
                </c:pt>
                <c:pt idx="86">
                  <c:v>8.3343083754394698E-3</c:v>
                </c:pt>
                <c:pt idx="87">
                  <c:v>-2.4176172903118244E-3</c:v>
                </c:pt>
                <c:pt idx="88">
                  <c:v>3.9228693722453299E-3</c:v>
                </c:pt>
                <c:pt idx="89">
                  <c:v>-4.6656388314220369E-3</c:v>
                </c:pt>
                <c:pt idx="90">
                  <c:v>8.7108947560093249E-3</c:v>
                </c:pt>
                <c:pt idx="91">
                  <c:v>-8.9234855749520392E-4</c:v>
                </c:pt>
                <c:pt idx="92">
                  <c:v>5.0055833600156415E-3</c:v>
                </c:pt>
                <c:pt idx="93">
                  <c:v>-7.3274611657433656E-3</c:v>
                </c:pt>
                <c:pt idx="94">
                  <c:v>6.7828870310490787E-3</c:v>
                </c:pt>
                <c:pt idx="95">
                  <c:v>-3.8408743074745287E-3</c:v>
                </c:pt>
                <c:pt idx="96">
                  <c:v>7.1961277913175077E-4</c:v>
                </c:pt>
                <c:pt idx="97">
                  <c:v>-1.0302407754439713E-2</c:v>
                </c:pt>
                <c:pt idx="98">
                  <c:v>6.0390079741733157E-3</c:v>
                </c:pt>
                <c:pt idx="99">
                  <c:v>-3.8910694876369335E-3</c:v>
                </c:pt>
                <c:pt idx="100">
                  <c:v>1.694195109838148E-3</c:v>
                </c:pt>
                <c:pt idx="101">
                  <c:v>-9.8690906950364976E-3</c:v>
                </c:pt>
                <c:pt idx="102">
                  <c:v>3.7632515575397817E-3</c:v>
                </c:pt>
                <c:pt idx="103">
                  <c:v>-7.7509926025589593E-3</c:v>
                </c:pt>
                <c:pt idx="104">
                  <c:v>-1.8496735671041265E-3</c:v>
                </c:pt>
                <c:pt idx="105">
                  <c:v>-9.6050644723373324E-3</c:v>
                </c:pt>
                <c:pt idx="106">
                  <c:v>6.8478302416023597E-3</c:v>
                </c:pt>
                <c:pt idx="107">
                  <c:v>-2.4393871094080311E-3</c:v>
                </c:pt>
                <c:pt idx="108">
                  <c:v>4.4554759464332959E-3</c:v>
                </c:pt>
                <c:pt idx="109">
                  <c:v>-6.9486799856875335E-3</c:v>
                </c:pt>
                <c:pt idx="110">
                  <c:v>2.7484623533396758E-3</c:v>
                </c:pt>
                <c:pt idx="111">
                  <c:v>-9.8264782138727472E-3</c:v>
                </c:pt>
                <c:pt idx="112">
                  <c:v>-3.9718913112764655E-3</c:v>
                </c:pt>
                <c:pt idx="113">
                  <c:v>-1.367105525488892E-2</c:v>
                </c:pt>
                <c:pt idx="114">
                  <c:v>2.6806652583411862E-3</c:v>
                </c:pt>
                <c:pt idx="115">
                  <c:v>-3.7006640416610281E-3</c:v>
                </c:pt>
                <c:pt idx="116">
                  <c:v>4.6607205804276575E-3</c:v>
                </c:pt>
                <c:pt idx="117">
                  <c:v>-4.4135148305027624E-3</c:v>
                </c:pt>
                <c:pt idx="118">
                  <c:v>8.8576256226083668E-3</c:v>
                </c:pt>
                <c:pt idx="119">
                  <c:v>-2.5345657962551728E-3</c:v>
                </c:pt>
                <c:pt idx="120">
                  <c:v>2.9451023383764152E-3</c:v>
                </c:pt>
                <c:pt idx="121">
                  <c:v>-6.4033724112949383E-3</c:v>
                </c:pt>
                <c:pt idx="122">
                  <c:v>8.136989861868749E-3</c:v>
                </c:pt>
                <c:pt idx="123">
                  <c:v>-1.8746531851466131E-3</c:v>
                </c:pt>
                <c:pt idx="124">
                  <c:v>2.421833157502462E-3</c:v>
                </c:pt>
                <c:pt idx="125">
                  <c:v>-6.6885833218824683E-3</c:v>
                </c:pt>
                <c:pt idx="126">
                  <c:v>5.7251295484030962E-3</c:v>
                </c:pt>
                <c:pt idx="127">
                  <c:v>-2.6292886076957345E-3</c:v>
                </c:pt>
                <c:pt idx="128">
                  <c:v>4.3243988488519845E-3</c:v>
                </c:pt>
                <c:pt idx="129">
                  <c:v>-3.6028358385504335E-3</c:v>
                </c:pt>
                <c:pt idx="130">
                  <c:v>8.9151239633437733E-3</c:v>
                </c:pt>
                <c:pt idx="131">
                  <c:v>-9.6276224448921255E-4</c:v>
                </c:pt>
                <c:pt idx="132">
                  <c:v>3.5716032460500814E-3</c:v>
                </c:pt>
                <c:pt idx="133">
                  <c:v>-4.6365669779007135E-3</c:v>
                </c:pt>
                <c:pt idx="134">
                  <c:v>9.879739519930375E-3</c:v>
                </c:pt>
                <c:pt idx="135">
                  <c:v>5.5669059385188294E-5</c:v>
                </c:pt>
                <c:pt idx="136">
                  <c:v>3.2695734281826816E-3</c:v>
                </c:pt>
                <c:pt idx="137">
                  <c:v>-6.2687679697496891E-3</c:v>
                </c:pt>
                <c:pt idx="138">
                  <c:v>6.3433634911584493E-3</c:v>
                </c:pt>
                <c:pt idx="139">
                  <c:v>-4.5301625172511351E-3</c:v>
                </c:pt>
                <c:pt idx="140">
                  <c:v>-5.9250340900067759E-4</c:v>
                </c:pt>
                <c:pt idx="141">
                  <c:v>-6.2652777697730141E-3</c:v>
                </c:pt>
                <c:pt idx="142">
                  <c:v>6.3468536911347687E-3</c:v>
                </c:pt>
                <c:pt idx="143">
                  <c:v>-5.034338019218332E-3</c:v>
                </c:pt>
                <c:pt idx="144">
                  <c:v>1.0983535383079612E-3</c:v>
                </c:pt>
                <c:pt idx="145">
                  <c:v>-7.0545648032160459E-3</c:v>
                </c:pt>
                <c:pt idx="146">
                  <c:v>5.7707418290661398E-3</c:v>
                </c:pt>
                <c:pt idx="147">
                  <c:v>-4.6521346793067407E-3</c:v>
                </c:pt>
                <c:pt idx="148">
                  <c:v>7.0307047694981859E-4</c:v>
                </c:pt>
                <c:pt idx="149">
                  <c:v>-7.9054095265529874E-3</c:v>
                </c:pt>
                <c:pt idx="150">
                  <c:v>4.766035929140244E-3</c:v>
                </c:pt>
                <c:pt idx="151">
                  <c:v>-5.1760333108102682E-3</c:v>
                </c:pt>
                <c:pt idx="152">
                  <c:v>2.1647920419594511E-3</c:v>
                </c:pt>
                <c:pt idx="153">
                  <c:v>-6.4372841818897799E-3</c:v>
                </c:pt>
                <c:pt idx="154">
                  <c:v>5.8272279260801699E-3</c:v>
                </c:pt>
                <c:pt idx="155">
                  <c:v>-1.6949300993184479E-3</c:v>
                </c:pt>
                <c:pt idx="156">
                  <c:v>2.4325656408159093E-3</c:v>
                </c:pt>
                <c:pt idx="157">
                  <c:v>-7.3950583221497725E-3</c:v>
                </c:pt>
                <c:pt idx="158">
                  <c:v>6.2811793132745205E-3</c:v>
                </c:pt>
                <c:pt idx="159">
                  <c:v>-3.3783374897586428E-3</c:v>
                </c:pt>
                <c:pt idx="160">
                  <c:v>8.7571961572283639E-4</c:v>
                </c:pt>
                <c:pt idx="161">
                  <c:v>-5.3801699869524102E-3</c:v>
                </c:pt>
                <c:pt idx="162">
                  <c:v>7.286272404363814E-3</c:v>
                </c:pt>
                <c:pt idx="163">
                  <c:v>-3.4194542821799345E-3</c:v>
                </c:pt>
                <c:pt idx="164">
                  <c:v>9.9278090316445855E-4</c:v>
                </c:pt>
                <c:pt idx="165">
                  <c:v>-7.8279176914621829E-3</c:v>
                </c:pt>
                <c:pt idx="166">
                  <c:v>3.0421186205883189E-3</c:v>
                </c:pt>
                <c:pt idx="167">
                  <c:v>-5.0602572734204541E-3</c:v>
                </c:pt>
                <c:pt idx="168">
                  <c:v>5.8995992279964327E-4</c:v>
                </c:pt>
                <c:pt idx="169">
                  <c:v>-6.8956614258622647E-3</c:v>
                </c:pt>
                <c:pt idx="170">
                  <c:v>7.3263680477817063E-3</c:v>
                </c:pt>
                <c:pt idx="171">
                  <c:v>-1.4571070567388489E-3</c:v>
                </c:pt>
                <c:pt idx="172">
                  <c:v>3.7206112523930912E-3</c:v>
                </c:pt>
                <c:pt idx="173">
                  <c:v>-3.5298799957766747E-3</c:v>
                </c:pt>
                <c:pt idx="174">
                  <c:v>8.6264053845230386E-3</c:v>
                </c:pt>
                <c:pt idx="175">
                  <c:v>-2.9470016217398864E-3</c:v>
                </c:pt>
                <c:pt idx="176">
                  <c:v>-9.0105811481855364E-5</c:v>
                </c:pt>
                <c:pt idx="177">
                  <c:v>-1.0916012772047345E-2</c:v>
                </c:pt>
                <c:pt idx="178">
                  <c:v>7.6086166894420162E-4</c:v>
                </c:pt>
                <c:pt idx="179">
                  <c:v>-9.3559248798237953E-3</c:v>
                </c:pt>
                <c:pt idx="180">
                  <c:v>-3.5020580505308986E-3</c:v>
                </c:pt>
                <c:pt idx="181">
                  <c:v>-9.8079666182986358E-3</c:v>
                </c:pt>
                <c:pt idx="182">
                  <c:v>5.6713788100902105E-3</c:v>
                </c:pt>
                <c:pt idx="183">
                  <c:v>-2.2446862209696051E-3</c:v>
                </c:pt>
                <c:pt idx="184">
                  <c:v>5.4487726403129599E-3</c:v>
                </c:pt>
                <c:pt idx="185">
                  <c:v>-1.6860640359166012E-3</c:v>
                </c:pt>
                <c:pt idx="186">
                  <c:v>1.1709034431688714E-2</c:v>
                </c:pt>
                <c:pt idx="187">
                  <c:v>3.7217387523540423E-4</c:v>
                </c:pt>
                <c:pt idx="188">
                  <c:v>4.313847865314635E-3</c:v>
                </c:pt>
                <c:pt idx="189">
                  <c:v>-3.9677950708675528E-3</c:v>
                </c:pt>
                <c:pt idx="190">
                  <c:v>7.7636743727065747E-3</c:v>
                </c:pt>
                <c:pt idx="191">
                  <c:v>-1.4250165865199449E-3</c:v>
                </c:pt>
                <c:pt idx="192">
                  <c:v>4.2419955490460735E-3</c:v>
                </c:pt>
                <c:pt idx="193">
                  <c:v>-2.2712892708442569E-3</c:v>
                </c:pt>
                <c:pt idx="194">
                  <c:v>9.6408502742779227E-3</c:v>
                </c:pt>
                <c:pt idx="195">
                  <c:v>9.930439752180221E-4</c:v>
                </c:pt>
                <c:pt idx="196">
                  <c:v>3.8390806325645952E-3</c:v>
                </c:pt>
                <c:pt idx="197">
                  <c:v>-4.3976694018162728E-3</c:v>
                </c:pt>
                <c:pt idx="198">
                  <c:v>6.7386698954397415E-3</c:v>
                </c:pt>
                <c:pt idx="199">
                  <c:v>-3.0270110664126549E-3</c:v>
                </c:pt>
                <c:pt idx="200">
                  <c:v>1.3172119387675706E-3</c:v>
                </c:pt>
                <c:pt idx="201">
                  <c:v>-6.2103635715644147E-3</c:v>
                </c:pt>
                <c:pt idx="202">
                  <c:v>6.4301912947739128E-3</c:v>
                </c:pt>
                <c:pt idx="203">
                  <c:v>-5.3661121496430654E-3</c:v>
                </c:pt>
                <c:pt idx="204">
                  <c:v>-3.0822821942928513E-3</c:v>
                </c:pt>
                <c:pt idx="205">
                  <c:v>-1.1753511862728772E-2</c:v>
                </c:pt>
                <c:pt idx="206">
                  <c:v>1.8038109487509501E-3</c:v>
                </c:pt>
                <c:pt idx="207">
                  <c:v>-5.6691784060339144E-3</c:v>
                </c:pt>
                <c:pt idx="208">
                  <c:v>2.3312920783961745E-3</c:v>
                </c:pt>
                <c:pt idx="209">
                  <c:v>-4.1016450431930803E-3</c:v>
                </c:pt>
                <c:pt idx="210">
                  <c:v>1.0480119138317433E-2</c:v>
                </c:pt>
                <c:pt idx="211">
                  <c:v>1.5477342145816309E-3</c:v>
                </c:pt>
                <c:pt idx="212">
                  <c:v>2.7474925232946036E-3</c:v>
                </c:pt>
                <c:pt idx="213">
                  <c:v>-6.8129571597404844E-3</c:v>
                </c:pt>
                <c:pt idx="214">
                  <c:v>6.0449134812429863E-3</c:v>
                </c:pt>
                <c:pt idx="215">
                  <c:v>-2.9666580548983745E-3</c:v>
                </c:pt>
                <c:pt idx="216">
                  <c:v>1.3569814652457878E-3</c:v>
                </c:pt>
                <c:pt idx="217">
                  <c:v>-4.1497726625943088E-3</c:v>
                </c:pt>
                <c:pt idx="218">
                  <c:v>7.4783198345487632E-3</c:v>
                </c:pt>
                <c:pt idx="219">
                  <c:v>-2.1023329870057951E-4</c:v>
                </c:pt>
                <c:pt idx="220">
                  <c:v>3.395669005992552E-3</c:v>
                </c:pt>
                <c:pt idx="221">
                  <c:v>-4.7272818693043558E-3</c:v>
                </c:pt>
                <c:pt idx="222">
                  <c:v>5.9306224368961937E-3</c:v>
                </c:pt>
                <c:pt idx="223">
                  <c:v>-1.5831428943419823E-3</c:v>
                </c:pt>
                <c:pt idx="224">
                  <c:v>1.5076978832373911E-3</c:v>
                </c:pt>
                <c:pt idx="225">
                  <c:v>-7.4012033111458212E-3</c:v>
                </c:pt>
                <c:pt idx="226">
                  <c:v>3.5224215463040666E-3</c:v>
                </c:pt>
                <c:pt idx="227">
                  <c:v>-4.1044995219813533E-3</c:v>
                </c:pt>
                <c:pt idx="228">
                  <c:v>7.3928792703217285E-4</c:v>
                </c:pt>
                <c:pt idx="229">
                  <c:v>-6.8118336993169496E-3</c:v>
                </c:pt>
                <c:pt idx="230">
                  <c:v>5.0033697757514871E-3</c:v>
                </c:pt>
                <c:pt idx="231">
                  <c:v>-1.9404905192930144E-3</c:v>
                </c:pt>
                <c:pt idx="232">
                  <c:v>2.8496491064212036E-3</c:v>
                </c:pt>
                <c:pt idx="233">
                  <c:v>-6.4523599405378104E-3</c:v>
                </c:pt>
                <c:pt idx="234">
                  <c:v>4.6087956152769394E-3</c:v>
                </c:pt>
                <c:pt idx="235">
                  <c:v>-1.6476809395975067E-3</c:v>
                </c:pt>
                <c:pt idx="236">
                  <c:v>3.0844357808144096E-3</c:v>
                </c:pt>
                <c:pt idx="237">
                  <c:v>-4.6823224160286612E-3</c:v>
                </c:pt>
                <c:pt idx="238">
                  <c:v>8.3594312882881994E-3</c:v>
                </c:pt>
                <c:pt idx="239">
                  <c:v>1.8119751719980926E-3</c:v>
                </c:pt>
                <c:pt idx="240">
                  <c:v>3.1788479278416657E-3</c:v>
                </c:pt>
                <c:pt idx="241">
                  <c:v>-6.160422656785158E-3</c:v>
                </c:pt>
                <c:pt idx="242">
                  <c:v>4.5233270723926463E-3</c:v>
                </c:pt>
                <c:pt idx="243">
                  <c:v>-5.3025406482291263E-3</c:v>
                </c:pt>
                <c:pt idx="244">
                  <c:v>-2.5417783036965958E-3</c:v>
                </c:pt>
                <c:pt idx="245">
                  <c:v>-8.5040314993797498E-3</c:v>
                </c:pt>
                <c:pt idx="246">
                  <c:v>3.0872677817523455E-3</c:v>
                </c:pt>
                <c:pt idx="247">
                  <c:v>-6.3882845747674109E-3</c:v>
                </c:pt>
                <c:pt idx="248">
                  <c:v>-1.2738316645094726E-3</c:v>
                </c:pt>
                <c:pt idx="249">
                  <c:v>-6.2339247127773945E-3</c:v>
                </c:pt>
                <c:pt idx="250">
                  <c:v>3.9902870864152009E-3</c:v>
                </c:pt>
                <c:pt idx="251">
                  <c:v>-2.7674235229330434E-3</c:v>
                </c:pt>
                <c:pt idx="252">
                  <c:v>4.1481287442536544E-3</c:v>
                </c:pt>
                <c:pt idx="253">
                  <c:v>-2.6831823075275096E-3</c:v>
                </c:pt>
                <c:pt idx="254">
                  <c:v>5.997679143023937E-3</c:v>
                </c:pt>
                <c:pt idx="255">
                  <c:v>-1.5125776624966391E-3</c:v>
                </c:pt>
                <c:pt idx="256">
                  <c:v>1.4617710883976897E-3</c:v>
                </c:pt>
                <c:pt idx="257">
                  <c:v>-6.8658062938416363E-3</c:v>
                </c:pt>
                <c:pt idx="258">
                  <c:v>5.1173938311718462E-3</c:v>
                </c:pt>
                <c:pt idx="259">
                  <c:v>-2.0316297576369992E-3</c:v>
                </c:pt>
                <c:pt idx="260">
                  <c:v>2.7562829900304566E-3</c:v>
                </c:pt>
                <c:pt idx="261">
                  <c:v>-2.9127749555216908E-3</c:v>
                </c:pt>
                <c:pt idx="262">
                  <c:v>8.0908829633814967E-3</c:v>
                </c:pt>
                <c:pt idx="263">
                  <c:v>2.6001774354931226E-4</c:v>
                </c:pt>
                <c:pt idx="264">
                  <c:v>3.9286124234672922E-3</c:v>
                </c:pt>
                <c:pt idx="265">
                  <c:v>-4.802548732531697E-3</c:v>
                </c:pt>
                <c:pt idx="266">
                  <c:v>4.5801604594563729E-3</c:v>
                </c:pt>
                <c:pt idx="267">
                  <c:v>-2.9327504247046222E-3</c:v>
                </c:pt>
                <c:pt idx="268">
                  <c:v>2.2763146852664562E-4</c:v>
                </c:pt>
                <c:pt idx="269">
                  <c:v>-5.6865578855525454E-3</c:v>
                </c:pt>
                <c:pt idx="270">
                  <c:v>6.2445113907365624E-3</c:v>
                </c:pt>
                <c:pt idx="271">
                  <c:v>1.1509863129095521E-4</c:v>
                </c:pt>
                <c:pt idx="272">
                  <c:v>4.4402292366092057E-3</c:v>
                </c:pt>
                <c:pt idx="273">
                  <c:v>-2.0457903396080114E-3</c:v>
                </c:pt>
                <c:pt idx="274">
                  <c:v>8.1915707149832432E-3</c:v>
                </c:pt>
                <c:pt idx="275">
                  <c:v>1.649240915806871E-3</c:v>
                </c:pt>
                <c:pt idx="276">
                  <c:v>5.1754305264175571E-3</c:v>
                </c:pt>
                <c:pt idx="277">
                  <c:v>-1.869976441562038E-3</c:v>
                </c:pt>
                <c:pt idx="278">
                  <c:v>9.2985586059242571E-3</c:v>
                </c:pt>
                <c:pt idx="279">
                  <c:v>1.9191359913323324E-3</c:v>
                </c:pt>
                <c:pt idx="280">
                  <c:v>5.2681948349153629E-3</c:v>
                </c:pt>
                <c:pt idx="281">
                  <c:v>-2.6420396795440839E-3</c:v>
                </c:pt>
                <c:pt idx="282">
                  <c:v>2.4106041399027944E-3</c:v>
                </c:pt>
                <c:pt idx="283">
                  <c:v>-7.9242684639015213E-3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7-4ED9-A9E6-E57488896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101519"/>
        <c:axId val="285097359"/>
      </c:lineChart>
      <c:dateAx>
        <c:axId val="28510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97359"/>
        <c:crosses val="autoZero"/>
        <c:auto val="1"/>
        <c:lblOffset val="100"/>
        <c:baseTimeUnit val="months"/>
      </c:dateAx>
      <c:valAx>
        <c:axId val="28509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0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'dat80'!$P$1</c:f>
              <c:strCache>
                <c:ptCount val="1"/>
                <c:pt idx="0">
                  <c:v>Low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'dat80'!$B$2:$B$285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cat>
          <c:val>
            <c:numRef>
              <c:f>'dat80'!$P$2:$P$285</c:f>
              <c:numCache>
                <c:formatCode>General</c:formatCode>
                <c:ptCount val="284"/>
                <c:pt idx="2">
                  <c:v>6.7104726733527711</c:v>
                </c:pt>
                <c:pt idx="3">
                  <c:v>6.7022490239668757</c:v>
                </c:pt>
                <c:pt idx="4">
                  <c:v>6.7113025574305611</c:v>
                </c:pt>
                <c:pt idx="5">
                  <c:v>6.7021141011321479</c:v>
                </c:pt>
                <c:pt idx="6">
                  <c:v>6.7220092787745536</c:v>
                </c:pt>
                <c:pt idx="7">
                  <c:v>6.7139032825574398</c:v>
                </c:pt>
                <c:pt idx="8">
                  <c:v>6.7216524358726089</c:v>
                </c:pt>
                <c:pt idx="9">
                  <c:v>6.7125989024089243</c:v>
                </c:pt>
                <c:pt idx="10">
                  <c:v>6.7324218777785205</c:v>
                </c:pt>
                <c:pt idx="11">
                  <c:v>6.7217495179565203</c:v>
                </c:pt>
                <c:pt idx="12">
                  <c:v>6.7277415778756957</c:v>
                </c:pt>
                <c:pt idx="13">
                  <c:v>6.716756510785272</c:v>
                </c:pt>
                <c:pt idx="14">
                  <c:v>6.7340127170025186</c:v>
                </c:pt>
                <c:pt idx="15">
                  <c:v>6.7241050309541786</c:v>
                </c:pt>
                <c:pt idx="16">
                  <c:v>6.7303405479941043</c:v>
                </c:pt>
                <c:pt idx="17">
                  <c:v>6.7206651427176816</c:v>
                </c:pt>
                <c:pt idx="18">
                  <c:v>6.7407057321468757</c:v>
                </c:pt>
                <c:pt idx="19">
                  <c:v>6.7334577151438477</c:v>
                </c:pt>
                <c:pt idx="20">
                  <c:v>6.7410505605359585</c:v>
                </c:pt>
                <c:pt idx="21">
                  <c:v>6.7345712896572083</c:v>
                </c:pt>
                <c:pt idx="22">
                  <c:v>6.7550477110379221</c:v>
                </c:pt>
                <c:pt idx="23">
                  <c:v>6.746703511322119</c:v>
                </c:pt>
                <c:pt idx="24">
                  <c:v>6.7509439528522401</c:v>
                </c:pt>
                <c:pt idx="25">
                  <c:v>6.7421382474666256</c:v>
                </c:pt>
                <c:pt idx="26">
                  <c:v>6.7591946955902662</c:v>
                </c:pt>
                <c:pt idx="27">
                  <c:v>6.7479208660269974</c:v>
                </c:pt>
                <c:pt idx="28">
                  <c:v>6.7532918834876332</c:v>
                </c:pt>
                <c:pt idx="29">
                  <c:v>6.7468970225611313</c:v>
                </c:pt>
                <c:pt idx="30">
                  <c:v>6.764582957210334</c:v>
                </c:pt>
                <c:pt idx="31">
                  <c:v>6.7551829464008977</c:v>
                </c:pt>
                <c:pt idx="32">
                  <c:v>6.7646590110504796</c:v>
                </c:pt>
                <c:pt idx="33">
                  <c:v>6.7552232989954613</c:v>
                </c:pt>
                <c:pt idx="34">
                  <c:v>6.7727258300473974</c:v>
                </c:pt>
                <c:pt idx="35">
                  <c:v>6.7615036536492283</c:v>
                </c:pt>
                <c:pt idx="36">
                  <c:v>6.7702306408286024</c:v>
                </c:pt>
                <c:pt idx="37">
                  <c:v>6.7609911226288295</c:v>
                </c:pt>
                <c:pt idx="38">
                  <c:v>6.7800970712037705</c:v>
                </c:pt>
                <c:pt idx="39">
                  <c:v>6.7675858865466063</c:v>
                </c:pt>
                <c:pt idx="40">
                  <c:v>6.7758915782859219</c:v>
                </c:pt>
                <c:pt idx="41">
                  <c:v>6.7662234128990653</c:v>
                </c:pt>
                <c:pt idx="42">
                  <c:v>6.7825590191019201</c:v>
                </c:pt>
                <c:pt idx="43">
                  <c:v>6.7726582350060367</c:v>
                </c:pt>
                <c:pt idx="44">
                  <c:v>6.7807099261020882</c:v>
                </c:pt>
                <c:pt idx="45">
                  <c:v>6.7731097024663658</c:v>
                </c:pt>
                <c:pt idx="46">
                  <c:v>6.7902759896363225</c:v>
                </c:pt>
                <c:pt idx="47">
                  <c:v>6.7818208930066737</c:v>
                </c:pt>
                <c:pt idx="48">
                  <c:v>6.7904000863905507</c:v>
                </c:pt>
                <c:pt idx="49">
                  <c:v>6.7860694328607059</c:v>
                </c:pt>
                <c:pt idx="50">
                  <c:v>6.8040186904319615</c:v>
                </c:pt>
                <c:pt idx="51">
                  <c:v>6.7960706247020575</c:v>
                </c:pt>
                <c:pt idx="52">
                  <c:v>6.8027751631097866</c:v>
                </c:pt>
                <c:pt idx="53">
                  <c:v>6.7944265173018721</c:v>
                </c:pt>
                <c:pt idx="54">
                  <c:v>6.8118479930070164</c:v>
                </c:pt>
                <c:pt idx="55">
                  <c:v>6.8017248201909153</c:v>
                </c:pt>
                <c:pt idx="56">
                  <c:v>6.8055174603324673</c:v>
                </c:pt>
                <c:pt idx="57">
                  <c:v>6.7960668833623563</c:v>
                </c:pt>
                <c:pt idx="58">
                  <c:v>6.8126417969569779</c:v>
                </c:pt>
                <c:pt idx="59">
                  <c:v>6.8013467219747348</c:v>
                </c:pt>
                <c:pt idx="60">
                  <c:v>6.8095291787542891</c:v>
                </c:pt>
                <c:pt idx="61">
                  <c:v>6.8050597190158886</c:v>
                </c:pt>
                <c:pt idx="62">
                  <c:v>6.8247909316779909</c:v>
                </c:pt>
                <c:pt idx="63">
                  <c:v>6.816122185834697</c:v>
                </c:pt>
                <c:pt idx="64">
                  <c:v>6.8235791899424925</c:v>
                </c:pt>
                <c:pt idx="65">
                  <c:v>6.8167465695579246</c:v>
                </c:pt>
                <c:pt idx="66">
                  <c:v>6.8344687396469981</c:v>
                </c:pt>
                <c:pt idx="67">
                  <c:v>6.8237480597730853</c:v>
                </c:pt>
                <c:pt idx="68">
                  <c:v>6.8307128549474241</c:v>
                </c:pt>
                <c:pt idx="69">
                  <c:v>6.8232558508396277</c:v>
                </c:pt>
                <c:pt idx="70">
                  <c:v>6.8400218386231124</c:v>
                </c:pt>
                <c:pt idx="71">
                  <c:v>6.8272106295554797</c:v>
                </c:pt>
                <c:pt idx="72">
                  <c:v>6.8341377288880318</c:v>
                </c:pt>
                <c:pt idx="73">
                  <c:v>6.8276154117702799</c:v>
                </c:pt>
                <c:pt idx="74">
                  <c:v>6.8441218290073955</c:v>
                </c:pt>
                <c:pt idx="75">
                  <c:v>6.836557902353678</c:v>
                </c:pt>
                <c:pt idx="76">
                  <c:v>6.8481242941247107</c:v>
                </c:pt>
                <c:pt idx="77">
                  <c:v>6.842514433362731</c:v>
                </c:pt>
                <c:pt idx="78">
                  <c:v>6.8594557728571619</c:v>
                </c:pt>
                <c:pt idx="79">
                  <c:v>6.8508364674204882</c:v>
                </c:pt>
                <c:pt idx="80">
                  <c:v>6.8550739140643779</c:v>
                </c:pt>
                <c:pt idx="81">
                  <c:v>6.8443876117223095</c:v>
                </c:pt>
                <c:pt idx="82">
                  <c:v>6.8591466768419309</c:v>
                </c:pt>
                <c:pt idx="83">
                  <c:v>6.8491550050551977</c:v>
                </c:pt>
                <c:pt idx="84">
                  <c:v>6.855498031393843</c:v>
                </c:pt>
                <c:pt idx="85">
                  <c:v>6.8493240446066697</c:v>
                </c:pt>
                <c:pt idx="86">
                  <c:v>6.8669640125863971</c:v>
                </c:pt>
                <c:pt idx="87">
                  <c:v>6.8580274610930232</c:v>
                </c:pt>
                <c:pt idx="88">
                  <c:v>6.8661833219279558</c:v>
                </c:pt>
                <c:pt idx="89">
                  <c:v>6.8594101878966658</c:v>
                </c:pt>
                <c:pt idx="90">
                  <c:v>6.8746020956564742</c:v>
                </c:pt>
                <c:pt idx="91">
                  <c:v>6.8668142265153449</c:v>
                </c:pt>
                <c:pt idx="92">
                  <c:v>6.8745275326052333</c:v>
                </c:pt>
                <c:pt idx="93">
                  <c:v>6.8640098622518515</c:v>
                </c:pt>
                <c:pt idx="94">
                  <c:v>6.8799355846210206</c:v>
                </c:pt>
                <c:pt idx="95">
                  <c:v>6.8711271974548724</c:v>
                </c:pt>
                <c:pt idx="96">
                  <c:v>6.8775030587138559</c:v>
                </c:pt>
                <c:pt idx="97">
                  <c:v>6.8682964123526622</c:v>
                </c:pt>
                <c:pt idx="98">
                  <c:v>6.8864532022536507</c:v>
                </c:pt>
                <c:pt idx="99">
                  <c:v>6.8783384989642169</c:v>
                </c:pt>
                <c:pt idx="100">
                  <c:v>6.8857391377340695</c:v>
                </c:pt>
                <c:pt idx="101">
                  <c:v>6.8759912261015721</c:v>
                </c:pt>
                <c:pt idx="102">
                  <c:v>6.8914389425265234</c:v>
                </c:pt>
                <c:pt idx="103">
                  <c:v>6.8817400725388023</c:v>
                </c:pt>
                <c:pt idx="104">
                  <c:v>6.8894567657466341</c:v>
                </c:pt>
                <c:pt idx="105">
                  <c:v>6.8835167490137765</c:v>
                </c:pt>
                <c:pt idx="106">
                  <c:v>6.9017850179000932</c:v>
                </c:pt>
                <c:pt idx="107">
                  <c:v>6.8943131747214599</c:v>
                </c:pt>
                <c:pt idx="108">
                  <c:v>6.9030234119496772</c:v>
                </c:pt>
                <c:pt idx="109">
                  <c:v>6.8934346301899332</c:v>
                </c:pt>
                <c:pt idx="110">
                  <c:v>6.9049471467013381</c:v>
                </c:pt>
                <c:pt idx="111">
                  <c:v>6.8941875803065029</c:v>
                </c:pt>
                <c:pt idx="112">
                  <c:v>6.9018575413814744</c:v>
                </c:pt>
                <c:pt idx="113">
                  <c:v>6.8939737516102388</c:v>
                </c:pt>
                <c:pt idx="114">
                  <c:v>6.9121408462958467</c:v>
                </c:pt>
                <c:pt idx="115">
                  <c:v>6.9075748911682195</c:v>
                </c:pt>
                <c:pt idx="116">
                  <c:v>6.9177516499626854</c:v>
                </c:pt>
                <c:pt idx="117">
                  <c:v>6.9104927887241319</c:v>
                </c:pt>
                <c:pt idx="118">
                  <c:v>6.9255793033496209</c:v>
                </c:pt>
                <c:pt idx="119">
                  <c:v>6.9160024861031326</c:v>
                </c:pt>
                <c:pt idx="120">
                  <c:v>6.9232975284101412</c:v>
                </c:pt>
                <c:pt idx="121">
                  <c:v>6.9157644278328467</c:v>
                </c:pt>
                <c:pt idx="122">
                  <c:v>6.9321201642783858</c:v>
                </c:pt>
                <c:pt idx="123">
                  <c:v>6.9239238954037479</c:v>
                </c:pt>
                <c:pt idx="124">
                  <c:v>6.930035755918774</c:v>
                </c:pt>
                <c:pt idx="125">
                  <c:v>6.9227407136117645</c:v>
                </c:pt>
                <c:pt idx="126">
                  <c:v>6.9369698006544276</c:v>
                </c:pt>
                <c:pt idx="127">
                  <c:v>6.930430756670706</c:v>
                </c:pt>
                <c:pt idx="128">
                  <c:v>6.9391998182996311</c:v>
                </c:pt>
                <c:pt idx="129">
                  <c:v>6.9330879577846041</c:v>
                </c:pt>
                <c:pt idx="130">
                  <c:v>6.9474212917588751</c:v>
                </c:pt>
                <c:pt idx="131">
                  <c:v>6.9393587797234195</c:v>
                </c:pt>
                <c:pt idx="132">
                  <c:v>6.9457085193863346</c:v>
                </c:pt>
                <c:pt idx="133">
                  <c:v>6.9393157233347607</c:v>
                </c:pt>
                <c:pt idx="134">
                  <c:v>6.9556474040049689</c:v>
                </c:pt>
                <c:pt idx="135">
                  <c:v>6.9476387077168011</c:v>
                </c:pt>
                <c:pt idx="136">
                  <c:v>6.9526679862579739</c:v>
                </c:pt>
                <c:pt idx="137">
                  <c:v>6.9449450190324189</c:v>
                </c:pt>
                <c:pt idx="138">
                  <c:v>6.9593725246657039</c:v>
                </c:pt>
                <c:pt idx="139">
                  <c:v>6.9503143728296699</c:v>
                </c:pt>
                <c:pt idx="140">
                  <c:v>6.9560674061102974</c:v>
                </c:pt>
                <c:pt idx="141">
                  <c:v>6.9522100059219021</c:v>
                </c:pt>
                <c:pt idx="142">
                  <c:v>6.9666375115551853</c:v>
                </c:pt>
                <c:pt idx="143">
                  <c:v>6.9570716940172099</c:v>
                </c:pt>
                <c:pt idx="144">
                  <c:v>6.9650197597471131</c:v>
                </c:pt>
                <c:pt idx="145">
                  <c:v>6.9586822155779666</c:v>
                </c:pt>
                <c:pt idx="146">
                  <c:v>6.9733228963826237</c:v>
                </c:pt>
                <c:pt idx="147">
                  <c:v>6.9647153940466282</c:v>
                </c:pt>
                <c:pt idx="148">
                  <c:v>6.9718859733752625</c:v>
                </c:pt>
                <c:pt idx="149">
                  <c:v>6.9650928675441346</c:v>
                </c:pt>
                <c:pt idx="150">
                  <c:v>6.9795796871722056</c:v>
                </c:pt>
                <c:pt idx="151">
                  <c:v>6.9714529921046315</c:v>
                </c:pt>
                <c:pt idx="152">
                  <c:v>6.980609191629779</c:v>
                </c:pt>
                <c:pt idx="153">
                  <c:v>6.9738224895783052</c:v>
                </c:pt>
                <c:pt idx="154">
                  <c:v>6.9879023758586518</c:v>
                </c:pt>
                <c:pt idx="155">
                  <c:v>6.9821955920056311</c:v>
                </c:pt>
                <c:pt idx="156">
                  <c:v>6.9881384619181404</c:v>
                </c:pt>
                <c:pt idx="157">
                  <c:v>6.9801262121275522</c:v>
                </c:pt>
                <c:pt idx="158">
                  <c:v>6.9956178239353539</c:v>
                </c:pt>
                <c:pt idx="159">
                  <c:v>6.987773681304696</c:v>
                </c:pt>
                <c:pt idx="160">
                  <c:v>6.9938431125825549</c:v>
                </c:pt>
                <c:pt idx="161">
                  <c:v>6.9894025971522566</c:v>
                </c:pt>
                <c:pt idx="162">
                  <c:v>7.0038844137159497</c:v>
                </c:pt>
                <c:pt idx="163">
                  <c:v>6.9949940612017816</c:v>
                </c:pt>
                <c:pt idx="164">
                  <c:v>7.0012216705595032</c:v>
                </c:pt>
                <c:pt idx="165">
                  <c:v>6.9942163461372537</c:v>
                </c:pt>
                <c:pt idx="166">
                  <c:v>7.00690175662168</c:v>
                </c:pt>
                <c:pt idx="167">
                  <c:v>7.0006147549000479</c:v>
                </c:pt>
                <c:pt idx="168">
                  <c:v>7.0080803462686454</c:v>
                </c:pt>
                <c:pt idx="169">
                  <c:v>7.0024100990923603</c:v>
                </c:pt>
                <c:pt idx="170">
                  <c:v>7.0184475027383799</c:v>
                </c:pt>
                <c:pt idx="171">
                  <c:v>7.0114794018062367</c:v>
                </c:pt>
                <c:pt idx="172">
                  <c:v>7.0184724942877459</c:v>
                </c:pt>
                <c:pt idx="173">
                  <c:v>7.0130373772119512</c:v>
                </c:pt>
                <c:pt idx="174">
                  <c:v>7.0270090367646283</c:v>
                </c:pt>
                <c:pt idx="175">
                  <c:v>7.0172510039307427</c:v>
                </c:pt>
                <c:pt idx="176">
                  <c:v>7.0219232739133766</c:v>
                </c:pt>
                <c:pt idx="177">
                  <c:v>7.0129127411251879</c:v>
                </c:pt>
                <c:pt idx="178">
                  <c:v>7.0264049897385563</c:v>
                </c:pt>
                <c:pt idx="179">
                  <c:v>7.0181035773621661</c:v>
                </c:pt>
                <c:pt idx="180">
                  <c:v>7.0257728183638344</c:v>
                </c:pt>
                <c:pt idx="181">
                  <c:v>7.0212822839684437</c:v>
                </c:pt>
                <c:pt idx="182">
                  <c:v>7.0385770035692099</c:v>
                </c:pt>
                <c:pt idx="183">
                  <c:v>7.032476312710525</c:v>
                </c:pt>
                <c:pt idx="184">
                  <c:v>7.0419851457441851</c:v>
                </c:pt>
                <c:pt idx="185">
                  <c:v>7.0366656832403329</c:v>
                </c:pt>
                <c:pt idx="186">
                  <c:v>7.0518761558803149</c:v>
                </c:pt>
                <c:pt idx="187">
                  <c:v>7.0423546694962376</c:v>
                </c:pt>
                <c:pt idx="188">
                  <c:v>7.0481117176586938</c:v>
                </c:pt>
                <c:pt idx="189">
                  <c:v>7.0416454488948892</c:v>
                </c:pt>
                <c:pt idx="190">
                  <c:v>7.0551922925108386</c:v>
                </c:pt>
                <c:pt idx="191">
                  <c:v>7.0478189757239891</c:v>
                </c:pt>
                <c:pt idx="192">
                  <c:v>7.0553013620319325</c:v>
                </c:pt>
                <c:pt idx="193">
                  <c:v>7.0506034513844176</c:v>
                </c:pt>
                <c:pt idx="194">
                  <c:v>7.0643309651019166</c:v>
                </c:pt>
                <c:pt idx="195">
                  <c:v>7.0574985329752344</c:v>
                </c:pt>
                <c:pt idx="196">
                  <c:v>7.062159943804958</c:v>
                </c:pt>
                <c:pt idx="197">
                  <c:v>7.0557385679429521</c:v>
                </c:pt>
                <c:pt idx="198">
                  <c:v>7.0686902814125858</c:v>
                </c:pt>
                <c:pt idx="199">
                  <c:v>7.0607399746231101</c:v>
                </c:pt>
                <c:pt idx="200">
                  <c:v>7.0668995718006657</c:v>
                </c:pt>
                <c:pt idx="201">
                  <c:v>7.0611873704627115</c:v>
                </c:pt>
                <c:pt idx="202">
                  <c:v>7.0756432995014267</c:v>
                </c:pt>
                <c:pt idx="203">
                  <c:v>7.0656623702293873</c:v>
                </c:pt>
                <c:pt idx="204">
                  <c:v>7.0697615743571127</c:v>
                </c:pt>
                <c:pt idx="205">
                  <c:v>7.062905718861054</c:v>
                </c:pt>
                <c:pt idx="206">
                  <c:v>7.0782784158449106</c:v>
                </c:pt>
                <c:pt idx="207">
                  <c:v>7.0726208006625013</c:v>
                </c:pt>
                <c:pt idx="208">
                  <c:v>7.0824366453193086</c:v>
                </c:pt>
                <c:pt idx="209">
                  <c:v>7.0778190823700964</c:v>
                </c:pt>
                <c:pt idx="210">
                  <c:v>7.0942162207239825</c:v>
                </c:pt>
                <c:pt idx="211">
                  <c:v>7.0870992099726244</c:v>
                </c:pt>
                <c:pt idx="212">
                  <c:v>7.0901143424537141</c:v>
                </c:pt>
                <c:pt idx="213">
                  <c:v>7.082369266943056</c:v>
                </c:pt>
                <c:pt idx="214">
                  <c:v>7.0970425117564151</c:v>
                </c:pt>
                <c:pt idx="215">
                  <c:v>7.0898463143926511</c:v>
                </c:pt>
                <c:pt idx="216">
                  <c:v>7.0959853280851721</c:v>
                </c:pt>
                <c:pt idx="217">
                  <c:v>7.0922939481297078</c:v>
                </c:pt>
                <c:pt idx="218">
                  <c:v>7.1057374147992283</c:v>
                </c:pt>
                <c:pt idx="219">
                  <c:v>7.0998642358383561</c:v>
                </c:pt>
                <c:pt idx="220">
                  <c:v>7.1052855123154242</c:v>
                </c:pt>
                <c:pt idx="221">
                  <c:v>7.0989779356125045</c:v>
                </c:pt>
                <c:pt idx="222">
                  <c:v>7.1114512140910824</c:v>
                </c:pt>
                <c:pt idx="223">
                  <c:v>7.1057528229322218</c:v>
                </c:pt>
                <c:pt idx="224">
                  <c:v>7.1106590378821766</c:v>
                </c:pt>
                <c:pt idx="225">
                  <c:v>7.1035655108601707</c:v>
                </c:pt>
                <c:pt idx="226">
                  <c:v>7.1163045098899973</c:v>
                </c:pt>
                <c:pt idx="227">
                  <c:v>7.1104929629940878</c:v>
                </c:pt>
                <c:pt idx="228">
                  <c:v>7.1171521246154779</c:v>
                </c:pt>
                <c:pt idx="229">
                  <c:v>7.1114163771615067</c:v>
                </c:pt>
                <c:pt idx="230">
                  <c:v>7.1250469548089521</c:v>
                </c:pt>
                <c:pt idx="231">
                  <c:v>7.1199184686862829</c:v>
                </c:pt>
                <c:pt idx="232">
                  <c:v>7.1265239824843745</c:v>
                </c:pt>
                <c:pt idx="233">
                  <c:v>7.1190373476097921</c:v>
                </c:pt>
                <c:pt idx="234">
                  <c:v>7.1319138773379827</c:v>
                </c:pt>
                <c:pt idx="235">
                  <c:v>7.1274727749554856</c:v>
                </c:pt>
                <c:pt idx="236">
                  <c:v>7.1340202658482745</c:v>
                </c:pt>
                <c:pt idx="237">
                  <c:v>7.1280688818238067</c:v>
                </c:pt>
                <c:pt idx="238">
                  <c:v>7.142926009700501</c:v>
                </c:pt>
                <c:pt idx="239">
                  <c:v>7.1381939277565882</c:v>
                </c:pt>
                <c:pt idx="240">
                  <c:v>7.141376174684809</c:v>
                </c:pt>
                <c:pt idx="241">
                  <c:v>7.1338522782725571</c:v>
                </c:pt>
                <c:pt idx="242">
                  <c:v>7.1463514021741128</c:v>
                </c:pt>
                <c:pt idx="243">
                  <c:v>7.1383409086258682</c:v>
                </c:pt>
                <c:pt idx="244">
                  <c:v>7.1429170451427755</c:v>
                </c:pt>
                <c:pt idx="245">
                  <c:v>7.1387701661194702</c:v>
                </c:pt>
                <c:pt idx="246">
                  <c:v>7.152176839572979</c:v>
                </c:pt>
                <c:pt idx="247">
                  <c:v>7.1445166613888365</c:v>
                </c:pt>
                <c:pt idx="248">
                  <c:v>7.1514464884714704</c:v>
                </c:pt>
                <c:pt idx="249">
                  <c:v>7.1483017695955793</c:v>
                </c:pt>
                <c:pt idx="250">
                  <c:v>7.1603413555671489</c:v>
                </c:pt>
                <c:pt idx="251">
                  <c:v>7.1553990191301766</c:v>
                </c:pt>
                <c:pt idx="252">
                  <c:v>7.1641299455697398</c:v>
                </c:pt>
                <c:pt idx="253">
                  <c:v>7.1591140086903362</c:v>
                </c:pt>
                <c:pt idx="254">
                  <c:v>7.1696102443132634</c:v>
                </c:pt>
                <c:pt idx="255">
                  <c:v>7.1639153616801199</c:v>
                </c:pt>
                <c:pt idx="256">
                  <c:v>7.1687050846033911</c:v>
                </c:pt>
                <c:pt idx="257">
                  <c:v>7.1621928813935289</c:v>
                </c:pt>
                <c:pt idx="258">
                  <c:v>7.1759914556909177</c:v>
                </c:pt>
                <c:pt idx="259">
                  <c:v>7.1706578062744866</c:v>
                </c:pt>
                <c:pt idx="260">
                  <c:v>7.1772610931945309</c:v>
                </c:pt>
                <c:pt idx="261">
                  <c:v>7.1734074094213547</c:v>
                </c:pt>
                <c:pt idx="262">
                  <c:v>7.1862264415126349</c:v>
                </c:pt>
                <c:pt idx="263">
                  <c:v>7.1802109504651801</c:v>
                </c:pt>
                <c:pt idx="264">
                  <c:v>7.1856949193174753</c:v>
                </c:pt>
                <c:pt idx="265">
                  <c:v>7.178779132333851</c:v>
                </c:pt>
                <c:pt idx="266">
                  <c:v>7.1899772156982165</c:v>
                </c:pt>
                <c:pt idx="267">
                  <c:v>7.1842796789864325</c:v>
                </c:pt>
                <c:pt idx="268">
                  <c:v>7.1892554350520399</c:v>
                </c:pt>
                <c:pt idx="269">
                  <c:v>7.1851566198703374</c:v>
                </c:pt>
                <c:pt idx="270">
                  <c:v>7.1989030633190039</c:v>
                </c:pt>
                <c:pt idx="271">
                  <c:v>7.1945890247319335</c:v>
                </c:pt>
                <c:pt idx="272">
                  <c:v>7.200729529509629</c:v>
                </c:pt>
                <c:pt idx="273">
                  <c:v>7.1960588841057893</c:v>
                </c:pt>
                <c:pt idx="274">
                  <c:v>7.2081116193327572</c:v>
                </c:pt>
                <c:pt idx="275">
                  <c:v>7.2033846637059566</c:v>
                </c:pt>
                <c:pt idx="276">
                  <c:v>7.2087262274889445</c:v>
                </c:pt>
                <c:pt idx="277">
                  <c:v>7.2034961946933418</c:v>
                </c:pt>
                <c:pt idx="278">
                  <c:v>7.216480103913204</c:v>
                </c:pt>
                <c:pt idx="279">
                  <c:v>7.2109160554709888</c:v>
                </c:pt>
                <c:pt idx="280">
                  <c:v>7.2160804884869494</c:v>
                </c:pt>
                <c:pt idx="281">
                  <c:v>7.2099856281448673</c:v>
                </c:pt>
                <c:pt idx="282">
                  <c:v>7.2168536461366894</c:v>
                </c:pt>
                <c:pt idx="283">
                  <c:v>7.208334147705262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6-482B-A1C1-9A101A89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077792"/>
        <c:axId val="1451081536"/>
      </c:lineChart>
      <c:dateAx>
        <c:axId val="145107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081536"/>
        <c:crosses val="autoZero"/>
        <c:auto val="1"/>
        <c:lblOffset val="100"/>
        <c:baseTimeUnit val="months"/>
        <c:majorUnit val="40"/>
        <c:majorTimeUnit val="months"/>
      </c:dateAx>
      <c:valAx>
        <c:axId val="1451081536"/>
        <c:scaling>
          <c:orientation val="minMax"/>
          <c:min val="6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07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'dat80'!$S$1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'dat80'!$E$2:$E$5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'dat80'!$S$2:$S$5</c:f>
              <c:numCache>
                <c:formatCode>General</c:formatCode>
                <c:ptCount val="4"/>
                <c:pt idx="0">
                  <c:v>3.2954640972867329E-2</c:v>
                </c:pt>
                <c:pt idx="1">
                  <c:v>-7.1690436126600685E-3</c:v>
                </c:pt>
                <c:pt idx="2">
                  <c:v>3.8920300735566758E-3</c:v>
                </c:pt>
                <c:pt idx="3">
                  <c:v>-2.9677627433763936E-2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B-4D56-ACBF-26B69C0D6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967455"/>
        <c:axId val="286952479"/>
      </c:barChart>
      <c:catAx>
        <c:axId val="286967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52479"/>
        <c:crosses val="autoZero"/>
        <c:auto val="1"/>
        <c:lblAlgn val="ctr"/>
        <c:lblOffset val="100"/>
        <c:noMultiLvlLbl val="0"/>
      </c:catAx>
      <c:valAx>
        <c:axId val="28695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6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Comevement</a:t>
            </a:r>
            <a:r>
              <a:rPr lang="en-CA" baseline="0"/>
              <a:t> of LOG(Expenditure) in data 80 and data 69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'dat80'!$G$1</c:f>
              <c:strCache>
                <c:ptCount val="1"/>
                <c:pt idx="0">
                  <c:v>LOG(Expenditure 80)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'dat69'!$B$2:$B$285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xVal>
          <c:yVal>
            <c:numRef>
              <c:f>'dat80'!$G$2:$G$285</c:f>
              <c:numCache>
                <c:formatCode>General</c:formatCode>
                <c:ptCount val="284"/>
                <c:pt idx="0">
                  <c:v>6.7381524945959574</c:v>
                </c:pt>
                <c:pt idx="1">
                  <c:v>6.6833609457662746</c:v>
                </c:pt>
                <c:pt idx="2">
                  <c:v>6.7141705299094721</c:v>
                </c:pt>
                <c:pt idx="3">
                  <c:v>6.6644090203504076</c:v>
                </c:pt>
                <c:pt idx="4">
                  <c:v>6.752270376141742</c:v>
                </c:pt>
                <c:pt idx="5">
                  <c:v>6.6970342476664841</c:v>
                </c:pt>
                <c:pt idx="6">
                  <c:v>6.7286286130847017</c:v>
                </c:pt>
                <c:pt idx="7">
                  <c:v>6.6682282484174031</c:v>
                </c:pt>
                <c:pt idx="8">
                  <c:v>6.7638849085624351</c:v>
                </c:pt>
                <c:pt idx="9">
                  <c:v>6.7117403950561796</c:v>
                </c:pt>
                <c:pt idx="10">
                  <c:v>6.7357800142423265</c:v>
                </c:pt>
                <c:pt idx="11">
                  <c:v>6.6833609457662746</c:v>
                </c:pt>
                <c:pt idx="12">
                  <c:v>6.7673431252653922</c:v>
                </c:pt>
                <c:pt idx="13">
                  <c:v>6.7105231094524278</c:v>
                </c:pt>
                <c:pt idx="14">
                  <c:v>6.7417006946520548</c:v>
                </c:pt>
                <c:pt idx="15">
                  <c:v>6.6808546787902152</c:v>
                </c:pt>
                <c:pt idx="16">
                  <c:v>6.7696419768525029</c:v>
                </c:pt>
                <c:pt idx="17">
                  <c:v>6.7178046950236912</c:v>
                </c:pt>
                <c:pt idx="18">
                  <c:v>6.7417006946520548</c:v>
                </c:pt>
                <c:pt idx="19">
                  <c:v>6.6933236682699491</c:v>
                </c:pt>
                <c:pt idx="20">
                  <c:v>6.7810576259361799</c:v>
                </c:pt>
                <c:pt idx="21">
                  <c:v>6.7334018918373593</c:v>
                </c:pt>
                <c:pt idx="22">
                  <c:v>6.7557689219842549</c:v>
                </c:pt>
                <c:pt idx="23">
                  <c:v>6.7093043402582984</c:v>
                </c:pt>
                <c:pt idx="24">
                  <c:v>6.7957057751735137</c:v>
                </c:pt>
                <c:pt idx="25">
                  <c:v>6.739336627357174</c:v>
                </c:pt>
                <c:pt idx="26">
                  <c:v>6.7546040994879624</c:v>
                </c:pt>
                <c:pt idx="27">
                  <c:v>6.7117403950561796</c:v>
                </c:pt>
                <c:pt idx="28">
                  <c:v>6.7945865808764987</c:v>
                </c:pt>
                <c:pt idx="29">
                  <c:v>6.739336627357174</c:v>
                </c:pt>
                <c:pt idx="30">
                  <c:v>6.7661917146603505</c:v>
                </c:pt>
                <c:pt idx="31">
                  <c:v>6.7226297948554485</c:v>
                </c:pt>
                <c:pt idx="32">
                  <c:v>6.8001700683021999</c:v>
                </c:pt>
                <c:pt idx="33">
                  <c:v>6.7475865268293154</c:v>
                </c:pt>
                <c:pt idx="34">
                  <c:v>6.7867169506050811</c:v>
                </c:pt>
                <c:pt idx="35">
                  <c:v>6.7190131543852596</c:v>
                </c:pt>
                <c:pt idx="36">
                  <c:v>6.8101424501151362</c:v>
                </c:pt>
                <c:pt idx="37">
                  <c:v>6.7440591863113477</c:v>
                </c:pt>
                <c:pt idx="38">
                  <c:v>6.7912214627261855</c:v>
                </c:pt>
                <c:pt idx="39">
                  <c:v>6.7405193596062229</c:v>
                </c:pt>
                <c:pt idx="40">
                  <c:v>6.8145428972599582</c:v>
                </c:pt>
                <c:pt idx="41">
                  <c:v>6.7475865268293154</c:v>
                </c:pt>
                <c:pt idx="42">
                  <c:v>6.7855876450079293</c:v>
                </c:pt>
                <c:pt idx="43">
                  <c:v>6.7428806357919031</c:v>
                </c:pt>
                <c:pt idx="44">
                  <c:v>6.8221973906204907</c:v>
                </c:pt>
                <c:pt idx="45">
                  <c:v>6.7650389767805414</c:v>
                </c:pt>
                <c:pt idx="46">
                  <c:v>6.7878449823095792</c:v>
                </c:pt>
                <c:pt idx="47">
                  <c:v>6.7475865268293154</c:v>
                </c:pt>
                <c:pt idx="48">
                  <c:v>6.828712071641684</c:v>
                </c:pt>
                <c:pt idx="49">
                  <c:v>6.7799219074722519</c:v>
                </c:pt>
                <c:pt idx="50">
                  <c:v>6.8079349436999257</c:v>
                </c:pt>
                <c:pt idx="51">
                  <c:v>6.7661917146603505</c:v>
                </c:pt>
                <c:pt idx="52">
                  <c:v>6.837332814685591</c:v>
                </c:pt>
                <c:pt idx="53">
                  <c:v>6.7889717429921701</c:v>
                </c:pt>
                <c:pt idx="54">
                  <c:v>6.8134445995108956</c:v>
                </c:pt>
                <c:pt idx="55">
                  <c:v>6.7661917146603505</c:v>
                </c:pt>
                <c:pt idx="56">
                  <c:v>6.8532990931860782</c:v>
                </c:pt>
                <c:pt idx="57">
                  <c:v>6.7867169506050811</c:v>
                </c:pt>
                <c:pt idx="58">
                  <c:v>6.8079349436999257</c:v>
                </c:pt>
                <c:pt idx="59">
                  <c:v>6.7661917146603505</c:v>
                </c:pt>
                <c:pt idx="60">
                  <c:v>6.8490662826334576</c:v>
                </c:pt>
                <c:pt idx="61">
                  <c:v>6.7968237182748554</c:v>
                </c:pt>
                <c:pt idx="62">
                  <c:v>6.8276292345028518</c:v>
                </c:pt>
                <c:pt idx="63">
                  <c:v>6.7855876450079293</c:v>
                </c:pt>
                <c:pt idx="64">
                  <c:v>6.8648477779708603</c:v>
                </c:pt>
                <c:pt idx="65">
                  <c:v>6.8057225534169854</c:v>
                </c:pt>
                <c:pt idx="66">
                  <c:v>6.8341087388138382</c:v>
                </c:pt>
                <c:pt idx="67">
                  <c:v>6.7934661325800096</c:v>
                </c:pt>
                <c:pt idx="68">
                  <c:v>6.8741984954532942</c:v>
                </c:pt>
                <c:pt idx="69">
                  <c:v>6.8112443786012937</c:v>
                </c:pt>
                <c:pt idx="70">
                  <c:v>6.8405465292886873</c:v>
                </c:pt>
                <c:pt idx="71">
                  <c:v>6.7968237182748554</c:v>
                </c:pt>
                <c:pt idx="72">
                  <c:v>6.8772960714974287</c:v>
                </c:pt>
                <c:pt idx="73">
                  <c:v>6.8101424501151362</c:v>
                </c:pt>
                <c:pt idx="74">
                  <c:v>6.8458798752640497</c:v>
                </c:pt>
                <c:pt idx="75">
                  <c:v>6.8079349436999257</c:v>
                </c:pt>
                <c:pt idx="76">
                  <c:v>6.879355804460439</c:v>
                </c:pt>
                <c:pt idx="77">
                  <c:v>6.8394764382288429</c:v>
                </c:pt>
                <c:pt idx="78">
                  <c:v>6.8679744089702925</c:v>
                </c:pt>
                <c:pt idx="79">
                  <c:v>6.8178305714541496</c:v>
                </c:pt>
                <c:pt idx="80">
                  <c:v>6.892641641172089</c:v>
                </c:pt>
                <c:pt idx="81">
                  <c:v>6.8362592772770672</c:v>
                </c:pt>
                <c:pt idx="82">
                  <c:v>6.8606636714482869</c:v>
                </c:pt>
                <c:pt idx="83">
                  <c:v>6.8145428972599582</c:v>
                </c:pt>
                <c:pt idx="84">
                  <c:v>6.8916258970522533</c:v>
                </c:pt>
                <c:pt idx="85">
                  <c:v>6.842683282238422</c:v>
                </c:pt>
                <c:pt idx="86">
                  <c:v>6.8679744089702925</c:v>
                </c:pt>
                <c:pt idx="87">
                  <c:v>6.8297937375124249</c:v>
                </c:pt>
                <c:pt idx="88">
                  <c:v>6.9027427371585928</c:v>
                </c:pt>
                <c:pt idx="89">
                  <c:v>6.8469431395853793</c:v>
                </c:pt>
                <c:pt idx="90">
                  <c:v>6.8834625864130921</c:v>
                </c:pt>
                <c:pt idx="91">
                  <c:v>6.8341087388138382</c:v>
                </c:pt>
                <c:pt idx="92">
                  <c:v>6.9057532763114642</c:v>
                </c:pt>
                <c:pt idx="93">
                  <c:v>6.8638033914529544</c:v>
                </c:pt>
                <c:pt idx="94">
                  <c:v>6.8855096700348177</c:v>
                </c:pt>
                <c:pt idx="95">
                  <c:v>6.8308742346461795</c:v>
                </c:pt>
                <c:pt idx="96">
                  <c:v>6.9137373506596846</c:v>
                </c:pt>
                <c:pt idx="97">
                  <c:v>6.8617113404807304</c:v>
                </c:pt>
                <c:pt idx="98">
                  <c:v>6.8956826977478682</c:v>
                </c:pt>
                <c:pt idx="99">
                  <c:v>6.8394764382288429</c:v>
                </c:pt>
                <c:pt idx="100">
                  <c:v>6.9216581841511289</c:v>
                </c:pt>
                <c:pt idx="101">
                  <c:v>6.8731638342125176</c:v>
                </c:pt>
                <c:pt idx="102">
                  <c:v>6.8987145343299883</c:v>
                </c:pt>
                <c:pt idx="103">
                  <c:v>6.8469431395853793</c:v>
                </c:pt>
                <c:pt idx="104">
                  <c:v>6.9167150203536085</c:v>
                </c:pt>
                <c:pt idx="105">
                  <c:v>6.8731638342125176</c:v>
                </c:pt>
                <c:pt idx="106">
                  <c:v>6.9117473002516743</c:v>
                </c:pt>
                <c:pt idx="107">
                  <c:v>6.8690144506657065</c:v>
                </c:pt>
                <c:pt idx="108">
                  <c:v>6.9382844840169602</c:v>
                </c:pt>
                <c:pt idx="109">
                  <c:v>6.879355804460439</c:v>
                </c:pt>
                <c:pt idx="110">
                  <c:v>6.9167150203536085</c:v>
                </c:pt>
                <c:pt idx="111">
                  <c:v>6.8638033914529544</c:v>
                </c:pt>
                <c:pt idx="112">
                  <c:v>6.926577033222725</c:v>
                </c:pt>
                <c:pt idx="113">
                  <c:v>6.8844866520427823</c:v>
                </c:pt>
                <c:pt idx="114">
                  <c:v>6.9177056098353047</c:v>
                </c:pt>
                <c:pt idx="115">
                  <c:v>6.8772960714974287</c:v>
                </c:pt>
                <c:pt idx="116">
                  <c:v>6.9546388648809874</c:v>
                </c:pt>
                <c:pt idx="117">
                  <c:v>6.9037472575845982</c:v>
                </c:pt>
                <c:pt idx="118">
                  <c:v>6.93537044601511</c:v>
                </c:pt>
                <c:pt idx="119">
                  <c:v>6.8814113036425351</c:v>
                </c:pt>
                <c:pt idx="120">
                  <c:v>6.9527286446248686</c:v>
                </c:pt>
                <c:pt idx="121">
                  <c:v>6.9067547786485539</c:v>
                </c:pt>
                <c:pt idx="122">
                  <c:v>6.9402224691196386</c:v>
                </c:pt>
                <c:pt idx="123">
                  <c:v>6.8977049431286357</c:v>
                </c:pt>
                <c:pt idx="124">
                  <c:v>6.9631899858702377</c:v>
                </c:pt>
                <c:pt idx="125">
                  <c:v>6.9117473002516743</c:v>
                </c:pt>
                <c:pt idx="126">
                  <c:v>6.9373140812236818</c:v>
                </c:pt>
                <c:pt idx="127">
                  <c:v>6.9037472575845982</c:v>
                </c:pt>
                <c:pt idx="128">
                  <c:v>6.9688503783419478</c:v>
                </c:pt>
                <c:pt idx="129">
                  <c:v>6.9304947659516261</c:v>
                </c:pt>
                <c:pt idx="130">
                  <c:v>6.9555926083962971</c:v>
                </c:pt>
                <c:pt idx="131">
                  <c:v>6.9067547786485539</c:v>
                </c:pt>
                <c:pt idx="132">
                  <c:v>6.9754139274559517</c:v>
                </c:pt>
                <c:pt idx="133">
                  <c:v>6.9285378181646653</c:v>
                </c:pt>
                <c:pt idx="134">
                  <c:v>6.9622434642662068</c:v>
                </c:pt>
                <c:pt idx="135">
                  <c:v>6.9236286281384274</c:v>
                </c:pt>
                <c:pt idx="136">
                  <c:v>6.9884131819995918</c:v>
                </c:pt>
                <c:pt idx="137">
                  <c:v>6.93537044601511</c:v>
                </c:pt>
                <c:pt idx="138">
                  <c:v>6.953684210870537</c:v>
                </c:pt>
                <c:pt idx="139">
                  <c:v>6.9236286281384274</c:v>
                </c:pt>
                <c:pt idx="140">
                  <c:v>6.9957661563048505</c:v>
                </c:pt>
                <c:pt idx="141">
                  <c:v>6.9431224228194282</c:v>
                </c:pt>
                <c:pt idx="142">
                  <c:v>6.9641356124182447</c:v>
                </c:pt>
                <c:pt idx="143">
                  <c:v>6.9343972099285578</c:v>
                </c:pt>
                <c:pt idx="144">
                  <c:v>6.9957661563048505</c:v>
                </c:pt>
                <c:pt idx="145">
                  <c:v>6.9479370686149693</c:v>
                </c:pt>
                <c:pt idx="146">
                  <c:v>6.9828627514689421</c:v>
                </c:pt>
                <c:pt idx="147">
                  <c:v>6.932447891572509</c:v>
                </c:pt>
                <c:pt idx="148">
                  <c:v>7.007600613951853</c:v>
                </c:pt>
                <c:pt idx="149">
                  <c:v>6.9527286446248686</c:v>
                </c:pt>
                <c:pt idx="150">
                  <c:v>6.9837899652581346</c:v>
                </c:pt>
                <c:pt idx="151">
                  <c:v>6.9488972223133123</c:v>
                </c:pt>
                <c:pt idx="152">
                  <c:v>7.0048819897128594</c:v>
                </c:pt>
                <c:pt idx="153">
                  <c:v>6.9669671386139829</c:v>
                </c:pt>
                <c:pt idx="154">
                  <c:v>6.9985096422506015</c:v>
                </c:pt>
                <c:pt idx="155">
                  <c:v>6.9498564550007726</c:v>
                </c:pt>
                <c:pt idx="156">
                  <c:v>7.0192966537150445</c:v>
                </c:pt>
                <c:pt idx="157">
                  <c:v>6.9763480704477487</c:v>
                </c:pt>
                <c:pt idx="158">
                  <c:v>6.9966814881765389</c:v>
                </c:pt>
                <c:pt idx="159">
                  <c:v>6.9584483932976555</c:v>
                </c:pt>
                <c:pt idx="160">
                  <c:v>7.0273145140397766</c:v>
                </c:pt>
                <c:pt idx="161">
                  <c:v>6.9800759405617629</c:v>
                </c:pt>
                <c:pt idx="162">
                  <c:v>7.0066952268370404</c:v>
                </c:pt>
                <c:pt idx="163">
                  <c:v>6.9744789110250451</c:v>
                </c:pt>
                <c:pt idx="164">
                  <c:v>7.0308574761161209</c:v>
                </c:pt>
                <c:pt idx="165">
                  <c:v>6.9828627514689421</c:v>
                </c:pt>
                <c:pt idx="166">
                  <c:v>7.0112139873503674</c:v>
                </c:pt>
                <c:pt idx="167">
                  <c:v>6.9716686047257896</c:v>
                </c:pt>
                <c:pt idx="168">
                  <c:v>7.0379059634471819</c:v>
                </c:pt>
                <c:pt idx="169">
                  <c:v>6.9994224675079613</c:v>
                </c:pt>
                <c:pt idx="170">
                  <c:v>7.020190708311925</c:v>
                </c:pt>
                <c:pt idx="171">
                  <c:v>6.9828627514689421</c:v>
                </c:pt>
                <c:pt idx="172">
                  <c:v>7.0518556229558937</c:v>
                </c:pt>
                <c:pt idx="173">
                  <c:v>7.0030654587864616</c:v>
                </c:pt>
                <c:pt idx="174">
                  <c:v>7.0343879299155034</c:v>
                </c:pt>
                <c:pt idx="175">
                  <c:v>6.9930151229329605</c:v>
                </c:pt>
                <c:pt idx="176">
                  <c:v>7.0527210492323231</c:v>
                </c:pt>
                <c:pt idx="177">
                  <c:v>7.0030654587864616</c:v>
                </c:pt>
                <c:pt idx="178">
                  <c:v>7.026426808699636</c:v>
                </c:pt>
                <c:pt idx="179">
                  <c:v>6.9893352659745602</c:v>
                </c:pt>
                <c:pt idx="180">
                  <c:v>7.0604763659998007</c:v>
                </c:pt>
                <c:pt idx="181">
                  <c:v>7.0112139873503674</c:v>
                </c:pt>
                <c:pt idx="182">
                  <c:v>7.0414116637948103</c:v>
                </c:pt>
                <c:pt idx="183">
                  <c:v>7.0039741367226798</c:v>
                </c:pt>
                <c:pt idx="184">
                  <c:v>7.0758088639783869</c:v>
                </c:pt>
                <c:pt idx="185">
                  <c:v>7.0299729117063858</c:v>
                </c:pt>
                <c:pt idx="186">
                  <c:v>7.0587581525186645</c:v>
                </c:pt>
                <c:pt idx="187">
                  <c:v>7.014814351275545</c:v>
                </c:pt>
                <c:pt idx="188">
                  <c:v>7.0800264999225906</c:v>
                </c:pt>
                <c:pt idx="189">
                  <c:v>7.0282014320580046</c:v>
                </c:pt>
                <c:pt idx="190">
                  <c:v>7.0587581525186645</c:v>
                </c:pt>
                <c:pt idx="191">
                  <c:v>7.026426808699636</c:v>
                </c:pt>
                <c:pt idx="192">
                  <c:v>7.0825485693552999</c:v>
                </c:pt>
                <c:pt idx="193">
                  <c:v>7.0431599159883405</c:v>
                </c:pt>
                <c:pt idx="194">
                  <c:v>7.0656133635977172</c:v>
                </c:pt>
                <c:pt idx="195">
                  <c:v>7.035268599281097</c:v>
                </c:pt>
                <c:pt idx="196">
                  <c:v>7.0950643772871311</c:v>
                </c:pt>
                <c:pt idx="197">
                  <c:v>7.0483864087218828</c:v>
                </c:pt>
                <c:pt idx="198">
                  <c:v>7.0664669701369576</c:v>
                </c:pt>
                <c:pt idx="199">
                  <c:v>7.0335064842876971</c:v>
                </c:pt>
                <c:pt idx="200">
                  <c:v>7.1000271666292596</c:v>
                </c:pt>
                <c:pt idx="201">
                  <c:v>7.0553128433397516</c:v>
                </c:pt>
                <c:pt idx="202">
                  <c:v>7.0791843946096682</c:v>
                </c:pt>
                <c:pt idx="203">
                  <c:v>7.0379059634471819</c:v>
                </c:pt>
                <c:pt idx="204">
                  <c:v>7.1057861294812712</c:v>
                </c:pt>
                <c:pt idx="205">
                  <c:v>7.0501225202690589</c:v>
                </c:pt>
                <c:pt idx="206">
                  <c:v>7.0758088639783869</c:v>
                </c:pt>
                <c:pt idx="207">
                  <c:v>7.0449051171293711</c:v>
                </c:pt>
                <c:pt idx="208">
                  <c:v>7.114769448366463</c:v>
                </c:pt>
                <c:pt idx="209">
                  <c:v>7.0774980535692311</c:v>
                </c:pt>
                <c:pt idx="210">
                  <c:v>7.0992017435530919</c:v>
                </c:pt>
                <c:pt idx="211">
                  <c:v>7.0527210492323231</c:v>
                </c:pt>
                <c:pt idx="212">
                  <c:v>7.1268908088988079</c:v>
                </c:pt>
                <c:pt idx="213">
                  <c:v>7.0791843946096682</c:v>
                </c:pt>
                <c:pt idx="214">
                  <c:v>7.0925737159746784</c:v>
                </c:pt>
                <c:pt idx="215">
                  <c:v>7.0604763659998007</c:v>
                </c:pt>
                <c:pt idx="216">
                  <c:v>7.1260872732991247</c:v>
                </c:pt>
                <c:pt idx="217">
                  <c:v>7.0909098220799835</c:v>
                </c:pt>
                <c:pt idx="218">
                  <c:v>7.1098794630722715</c:v>
                </c:pt>
                <c:pt idx="219">
                  <c:v>7.0741168161973622</c:v>
                </c:pt>
                <c:pt idx="220">
                  <c:v>7.1276936993473985</c:v>
                </c:pt>
                <c:pt idx="221">
                  <c:v>7.0967213784947605</c:v>
                </c:pt>
                <c:pt idx="222">
                  <c:v>7.1180162044653335</c:v>
                </c:pt>
                <c:pt idx="223">
                  <c:v>7.0783415795576712</c:v>
                </c:pt>
                <c:pt idx="224">
                  <c:v>7.1364832085902474</c:v>
                </c:pt>
                <c:pt idx="225">
                  <c:v>7.0992017435530919</c:v>
                </c:pt>
                <c:pt idx="226">
                  <c:v>7.1212524532445416</c:v>
                </c:pt>
                <c:pt idx="227">
                  <c:v>7.0825485693552999</c:v>
                </c:pt>
                <c:pt idx="228">
                  <c:v>7.1420365747068031</c:v>
                </c:pt>
                <c:pt idx="229">
                  <c:v>7.1074254741107046</c:v>
                </c:pt>
                <c:pt idx="230">
                  <c:v>7.1324975516600437</c:v>
                </c:pt>
                <c:pt idx="231">
                  <c:v>7.0925737159746784</c:v>
                </c:pt>
                <c:pt idx="232">
                  <c:v>7.1507014575925263</c:v>
                </c:pt>
                <c:pt idx="233">
                  <c:v>7.1163941440934648</c:v>
                </c:pt>
                <c:pt idx="234">
                  <c:v>7.1404530431011581</c:v>
                </c:pt>
                <c:pt idx="235">
                  <c:v>7.0950643772871311</c:v>
                </c:pt>
                <c:pt idx="236">
                  <c:v>7.1569563646156364</c:v>
                </c:pt>
                <c:pt idx="237">
                  <c:v>7.1284959456800365</c:v>
                </c:pt>
                <c:pt idx="238">
                  <c:v>7.1491315985574069</c:v>
                </c:pt>
                <c:pt idx="239">
                  <c:v>7.110696122978827</c:v>
                </c:pt>
                <c:pt idx="240">
                  <c:v>7.1693500166705997</c:v>
                </c:pt>
                <c:pt idx="241">
                  <c:v>7.1332959548960684</c:v>
                </c:pt>
                <c:pt idx="242">
                  <c:v>7.1444071803211386</c:v>
                </c:pt>
                <c:pt idx="243">
                  <c:v>7.111512116496157</c:v>
                </c:pt>
                <c:pt idx="244">
                  <c:v>7.1731917424865985</c:v>
                </c:pt>
                <c:pt idx="245">
                  <c:v>7.1292975489293733</c:v>
                </c:pt>
                <c:pt idx="246">
                  <c:v>7.1561766374806153</c:v>
                </c:pt>
                <c:pt idx="247">
                  <c:v>7.1236727852046071</c:v>
                </c:pt>
                <c:pt idx="248">
                  <c:v>7.1785454837636999</c:v>
                </c:pt>
                <c:pt idx="249">
                  <c:v>7.134890851565884</c:v>
                </c:pt>
                <c:pt idx="250">
                  <c:v>7.1639466843425472</c:v>
                </c:pt>
                <c:pt idx="251">
                  <c:v>7.1404530431011581</c:v>
                </c:pt>
                <c:pt idx="252">
                  <c:v>7.1838707150624526</c:v>
                </c:pt>
                <c:pt idx="253">
                  <c:v>7.153833801578843</c:v>
                </c:pt>
                <c:pt idx="254">
                  <c:v>7.1785454837636999</c:v>
                </c:pt>
                <c:pt idx="255">
                  <c:v>7.1388669999455239</c:v>
                </c:pt>
                <c:pt idx="256">
                  <c:v>7.1929342212157996</c:v>
                </c:pt>
                <c:pt idx="257">
                  <c:v>7.1553963018967339</c:v>
                </c:pt>
                <c:pt idx="258">
                  <c:v>7.1777824161951971</c:v>
                </c:pt>
                <c:pt idx="259">
                  <c:v>7.1459844677143876</c:v>
                </c:pt>
                <c:pt idx="260">
                  <c:v>7.2078598714324755</c:v>
                </c:pt>
                <c:pt idx="261">
                  <c:v>7.1662659741336379</c:v>
                </c:pt>
                <c:pt idx="262">
                  <c:v>7.1884127364969537</c:v>
                </c:pt>
                <c:pt idx="263">
                  <c:v>7.1585139973293206</c:v>
                </c:pt>
                <c:pt idx="264">
                  <c:v>7.2100796281707877</c:v>
                </c:pt>
                <c:pt idx="265">
                  <c:v>7.1777824161951971</c:v>
                </c:pt>
                <c:pt idx="266">
                  <c:v>7.193685818395112</c:v>
                </c:pt>
                <c:pt idx="267">
                  <c:v>7.153833801578843</c:v>
                </c:pt>
                <c:pt idx="268">
                  <c:v>7.2145044141511434</c:v>
                </c:pt>
                <c:pt idx="269">
                  <c:v>7.1815919446118652</c:v>
                </c:pt>
                <c:pt idx="270">
                  <c:v>7.2026611965232377</c:v>
                </c:pt>
                <c:pt idx="271">
                  <c:v>7.1731917424865985</c:v>
                </c:pt>
                <c:pt idx="272">
                  <c:v>7.222566018822171</c:v>
                </c:pt>
                <c:pt idx="273">
                  <c:v>7.1929342212157996</c:v>
                </c:pt>
                <c:pt idx="274">
                  <c:v>7.2122944685003407</c:v>
                </c:pt>
                <c:pt idx="275">
                  <c:v>7.179307969504034</c:v>
                </c:pt>
                <c:pt idx="276">
                  <c:v>7.233455418621439</c:v>
                </c:pt>
                <c:pt idx="277">
                  <c:v>7.1989312406881734</c:v>
                </c:pt>
                <c:pt idx="278">
                  <c:v>7.2196420401307355</c:v>
                </c:pt>
                <c:pt idx="279">
                  <c:v>7.1861443045223252</c:v>
                </c:pt>
                <c:pt idx="280">
                  <c:v>7.2442275156033498</c:v>
                </c:pt>
                <c:pt idx="281">
                  <c:v>7.2056351764103637</c:v>
                </c:pt>
                <c:pt idx="282">
                  <c:v>7.224753405767971</c:v>
                </c:pt>
                <c:pt idx="283">
                  <c:v>7.1891677384203225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F-4E7A-83E9-2A51463D3A9D}"/>
            </c:ext>
          </c:extLst>
        </c:ser>
        <c:ser>
          <c:idx val="1"/>
          <c:order val="1"/>
          <c:tx>
            <c:strRef>
              <c:f>'dat69'!$G$1</c:f>
              <c:strCache>
                <c:ptCount val="1"/>
                <c:pt idx="0">
                  <c:v>LOG(Expenditure 69)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'dat69'!$B$2:$B$285</c:f>
              <c:numCache>
                <c:formatCode>m/d/yyyy</c:formatCode>
                <c:ptCount val="284"/>
                <c:pt idx="0">
                  <c:v>18309</c:v>
                </c:pt>
                <c:pt idx="1">
                  <c:v>18398</c:v>
                </c:pt>
                <c:pt idx="2">
                  <c:v>18490</c:v>
                </c:pt>
                <c:pt idx="3">
                  <c:v>18582</c:v>
                </c:pt>
                <c:pt idx="4">
                  <c:v>18674</c:v>
                </c:pt>
                <c:pt idx="5">
                  <c:v>18763</c:v>
                </c:pt>
                <c:pt idx="6">
                  <c:v>18855</c:v>
                </c:pt>
                <c:pt idx="7">
                  <c:v>18947</c:v>
                </c:pt>
                <c:pt idx="8">
                  <c:v>19039</c:v>
                </c:pt>
                <c:pt idx="9">
                  <c:v>19129</c:v>
                </c:pt>
                <c:pt idx="10">
                  <c:v>19221</c:v>
                </c:pt>
                <c:pt idx="11">
                  <c:v>19313</c:v>
                </c:pt>
                <c:pt idx="12">
                  <c:v>19405</c:v>
                </c:pt>
                <c:pt idx="13">
                  <c:v>19494</c:v>
                </c:pt>
                <c:pt idx="14">
                  <c:v>19586</c:v>
                </c:pt>
                <c:pt idx="15">
                  <c:v>19678</c:v>
                </c:pt>
                <c:pt idx="16">
                  <c:v>19770</c:v>
                </c:pt>
                <c:pt idx="17">
                  <c:v>19859</c:v>
                </c:pt>
                <c:pt idx="18">
                  <c:v>19951</c:v>
                </c:pt>
                <c:pt idx="19">
                  <c:v>20043</c:v>
                </c:pt>
                <c:pt idx="20">
                  <c:v>20135</c:v>
                </c:pt>
                <c:pt idx="21">
                  <c:v>20224</c:v>
                </c:pt>
                <c:pt idx="22">
                  <c:v>20316</c:v>
                </c:pt>
                <c:pt idx="23">
                  <c:v>20408</c:v>
                </c:pt>
                <c:pt idx="24">
                  <c:v>20500</c:v>
                </c:pt>
                <c:pt idx="25">
                  <c:v>20590</c:v>
                </c:pt>
                <c:pt idx="26">
                  <c:v>20682</c:v>
                </c:pt>
                <c:pt idx="27">
                  <c:v>20774</c:v>
                </c:pt>
                <c:pt idx="28">
                  <c:v>20866</c:v>
                </c:pt>
                <c:pt idx="29">
                  <c:v>20955</c:v>
                </c:pt>
                <c:pt idx="30">
                  <c:v>21047</c:v>
                </c:pt>
                <c:pt idx="31">
                  <c:v>21139</c:v>
                </c:pt>
                <c:pt idx="32">
                  <c:v>21231</c:v>
                </c:pt>
                <c:pt idx="33">
                  <c:v>21320</c:v>
                </c:pt>
                <c:pt idx="34">
                  <c:v>21412</c:v>
                </c:pt>
                <c:pt idx="35">
                  <c:v>21504</c:v>
                </c:pt>
                <c:pt idx="36">
                  <c:v>21596</c:v>
                </c:pt>
                <c:pt idx="37">
                  <c:v>21685</c:v>
                </c:pt>
                <c:pt idx="38">
                  <c:v>21777</c:v>
                </c:pt>
                <c:pt idx="39">
                  <c:v>21869</c:v>
                </c:pt>
                <c:pt idx="40">
                  <c:v>21961</c:v>
                </c:pt>
                <c:pt idx="41">
                  <c:v>22051</c:v>
                </c:pt>
                <c:pt idx="42">
                  <c:v>22143</c:v>
                </c:pt>
                <c:pt idx="43">
                  <c:v>22235</c:v>
                </c:pt>
                <c:pt idx="44">
                  <c:v>22327</c:v>
                </c:pt>
                <c:pt idx="45">
                  <c:v>22416</c:v>
                </c:pt>
                <c:pt idx="46">
                  <c:v>22508</c:v>
                </c:pt>
                <c:pt idx="47">
                  <c:v>22600</c:v>
                </c:pt>
                <c:pt idx="48">
                  <c:v>22692</c:v>
                </c:pt>
                <c:pt idx="49">
                  <c:v>22781</c:v>
                </c:pt>
                <c:pt idx="50">
                  <c:v>22873</c:v>
                </c:pt>
                <c:pt idx="51">
                  <c:v>22965</c:v>
                </c:pt>
                <c:pt idx="52">
                  <c:v>23057</c:v>
                </c:pt>
                <c:pt idx="53">
                  <c:v>23146</c:v>
                </c:pt>
                <c:pt idx="54">
                  <c:v>23238</c:v>
                </c:pt>
                <c:pt idx="55">
                  <c:v>23330</c:v>
                </c:pt>
                <c:pt idx="56">
                  <c:v>23422</c:v>
                </c:pt>
                <c:pt idx="57">
                  <c:v>23512</c:v>
                </c:pt>
                <c:pt idx="58">
                  <c:v>23604</c:v>
                </c:pt>
                <c:pt idx="59">
                  <c:v>23696</c:v>
                </c:pt>
                <c:pt idx="60">
                  <c:v>23788</c:v>
                </c:pt>
                <c:pt idx="61">
                  <c:v>23877</c:v>
                </c:pt>
                <c:pt idx="62">
                  <c:v>23969</c:v>
                </c:pt>
                <c:pt idx="63">
                  <c:v>24061</c:v>
                </c:pt>
                <c:pt idx="64">
                  <c:v>24153</c:v>
                </c:pt>
                <c:pt idx="65">
                  <c:v>24242</c:v>
                </c:pt>
                <c:pt idx="66">
                  <c:v>24334</c:v>
                </c:pt>
                <c:pt idx="67">
                  <c:v>24426</c:v>
                </c:pt>
                <c:pt idx="68">
                  <c:v>24518</c:v>
                </c:pt>
                <c:pt idx="69">
                  <c:v>24607</c:v>
                </c:pt>
                <c:pt idx="70">
                  <c:v>24699</c:v>
                </c:pt>
                <c:pt idx="71">
                  <c:v>24791</c:v>
                </c:pt>
                <c:pt idx="72">
                  <c:v>24883</c:v>
                </c:pt>
                <c:pt idx="73">
                  <c:v>24973</c:v>
                </c:pt>
                <c:pt idx="74">
                  <c:v>25065</c:v>
                </c:pt>
                <c:pt idx="75">
                  <c:v>25157</c:v>
                </c:pt>
                <c:pt idx="76">
                  <c:v>25249</c:v>
                </c:pt>
                <c:pt idx="77">
                  <c:v>25338</c:v>
                </c:pt>
                <c:pt idx="78">
                  <c:v>25430</c:v>
                </c:pt>
                <c:pt idx="79">
                  <c:v>25522</c:v>
                </c:pt>
                <c:pt idx="80">
                  <c:v>25614</c:v>
                </c:pt>
                <c:pt idx="81">
                  <c:v>25703</c:v>
                </c:pt>
                <c:pt idx="82">
                  <c:v>25795</c:v>
                </c:pt>
                <c:pt idx="83">
                  <c:v>25887</c:v>
                </c:pt>
                <c:pt idx="84">
                  <c:v>25979</c:v>
                </c:pt>
                <c:pt idx="85">
                  <c:v>26068</c:v>
                </c:pt>
                <c:pt idx="86">
                  <c:v>26160</c:v>
                </c:pt>
                <c:pt idx="87">
                  <c:v>26252</c:v>
                </c:pt>
                <c:pt idx="88">
                  <c:v>26344</c:v>
                </c:pt>
                <c:pt idx="89">
                  <c:v>26434</c:v>
                </c:pt>
                <c:pt idx="90">
                  <c:v>26526</c:v>
                </c:pt>
                <c:pt idx="91">
                  <c:v>26618</c:v>
                </c:pt>
                <c:pt idx="92">
                  <c:v>26710</c:v>
                </c:pt>
                <c:pt idx="93">
                  <c:v>26799</c:v>
                </c:pt>
                <c:pt idx="94">
                  <c:v>26891</c:v>
                </c:pt>
                <c:pt idx="95">
                  <c:v>26983</c:v>
                </c:pt>
                <c:pt idx="96">
                  <c:v>27075</c:v>
                </c:pt>
                <c:pt idx="97">
                  <c:v>27164</c:v>
                </c:pt>
                <c:pt idx="98">
                  <c:v>27256</c:v>
                </c:pt>
                <c:pt idx="99">
                  <c:v>27348</c:v>
                </c:pt>
                <c:pt idx="100">
                  <c:v>27440</c:v>
                </c:pt>
                <c:pt idx="101">
                  <c:v>27529</c:v>
                </c:pt>
                <c:pt idx="102">
                  <c:v>27621</c:v>
                </c:pt>
                <c:pt idx="103">
                  <c:v>27713</c:v>
                </c:pt>
                <c:pt idx="104">
                  <c:v>27805</c:v>
                </c:pt>
                <c:pt idx="105">
                  <c:v>27895</c:v>
                </c:pt>
                <c:pt idx="106">
                  <c:v>27987</c:v>
                </c:pt>
                <c:pt idx="107">
                  <c:v>28079</c:v>
                </c:pt>
                <c:pt idx="108">
                  <c:v>28171</c:v>
                </c:pt>
                <c:pt idx="109">
                  <c:v>28260</c:v>
                </c:pt>
                <c:pt idx="110">
                  <c:v>28352</c:v>
                </c:pt>
                <c:pt idx="111">
                  <c:v>28444</c:v>
                </c:pt>
                <c:pt idx="112">
                  <c:v>28536</c:v>
                </c:pt>
                <c:pt idx="113">
                  <c:v>28625</c:v>
                </c:pt>
                <c:pt idx="114">
                  <c:v>28717</c:v>
                </c:pt>
                <c:pt idx="115">
                  <c:v>28809</c:v>
                </c:pt>
                <c:pt idx="116">
                  <c:v>28901</c:v>
                </c:pt>
                <c:pt idx="117">
                  <c:v>28990</c:v>
                </c:pt>
                <c:pt idx="118">
                  <c:v>29082</c:v>
                </c:pt>
                <c:pt idx="119">
                  <c:v>29174</c:v>
                </c:pt>
                <c:pt idx="120">
                  <c:v>29266</c:v>
                </c:pt>
                <c:pt idx="121">
                  <c:v>29356</c:v>
                </c:pt>
                <c:pt idx="122">
                  <c:v>29448</c:v>
                </c:pt>
                <c:pt idx="123">
                  <c:v>29540</c:v>
                </c:pt>
                <c:pt idx="124">
                  <c:v>29632</c:v>
                </c:pt>
                <c:pt idx="125">
                  <c:v>29721</c:v>
                </c:pt>
                <c:pt idx="126">
                  <c:v>29813</c:v>
                </c:pt>
                <c:pt idx="127">
                  <c:v>29905</c:v>
                </c:pt>
                <c:pt idx="128">
                  <c:v>29997</c:v>
                </c:pt>
                <c:pt idx="129">
                  <c:v>30086</c:v>
                </c:pt>
                <c:pt idx="130">
                  <c:v>30178</c:v>
                </c:pt>
                <c:pt idx="131">
                  <c:v>30270</c:v>
                </c:pt>
                <c:pt idx="132">
                  <c:v>30362</c:v>
                </c:pt>
                <c:pt idx="133">
                  <c:v>30451</c:v>
                </c:pt>
                <c:pt idx="134">
                  <c:v>30543</c:v>
                </c:pt>
                <c:pt idx="135">
                  <c:v>30635</c:v>
                </c:pt>
                <c:pt idx="136">
                  <c:v>30727</c:v>
                </c:pt>
                <c:pt idx="137">
                  <c:v>30817</c:v>
                </c:pt>
                <c:pt idx="138">
                  <c:v>30909</c:v>
                </c:pt>
                <c:pt idx="139">
                  <c:v>31001</c:v>
                </c:pt>
                <c:pt idx="140">
                  <c:v>31093</c:v>
                </c:pt>
                <c:pt idx="141">
                  <c:v>31182</c:v>
                </c:pt>
                <c:pt idx="142">
                  <c:v>31274</c:v>
                </c:pt>
                <c:pt idx="143">
                  <c:v>31366</c:v>
                </c:pt>
                <c:pt idx="144">
                  <c:v>31458</c:v>
                </c:pt>
                <c:pt idx="145">
                  <c:v>31547</c:v>
                </c:pt>
                <c:pt idx="146">
                  <c:v>31639</c:v>
                </c:pt>
                <c:pt idx="147">
                  <c:v>31731</c:v>
                </c:pt>
                <c:pt idx="148">
                  <c:v>31823</c:v>
                </c:pt>
                <c:pt idx="149">
                  <c:v>31912</c:v>
                </c:pt>
                <c:pt idx="150">
                  <c:v>32004</c:v>
                </c:pt>
                <c:pt idx="151">
                  <c:v>32096</c:v>
                </c:pt>
                <c:pt idx="152">
                  <c:v>32188</c:v>
                </c:pt>
                <c:pt idx="153">
                  <c:v>32278</c:v>
                </c:pt>
                <c:pt idx="154">
                  <c:v>32370</c:v>
                </c:pt>
                <c:pt idx="155">
                  <c:v>32462</c:v>
                </c:pt>
                <c:pt idx="156">
                  <c:v>32554</c:v>
                </c:pt>
                <c:pt idx="157">
                  <c:v>32643</c:v>
                </c:pt>
                <c:pt idx="158">
                  <c:v>32735</c:v>
                </c:pt>
                <c:pt idx="159">
                  <c:v>32827</c:v>
                </c:pt>
                <c:pt idx="160">
                  <c:v>32919</c:v>
                </c:pt>
                <c:pt idx="161">
                  <c:v>33008</c:v>
                </c:pt>
                <c:pt idx="162">
                  <c:v>33100</c:v>
                </c:pt>
                <c:pt idx="163">
                  <c:v>33192</c:v>
                </c:pt>
                <c:pt idx="164">
                  <c:v>33284</c:v>
                </c:pt>
                <c:pt idx="165">
                  <c:v>33373</c:v>
                </c:pt>
                <c:pt idx="166">
                  <c:v>33465</c:v>
                </c:pt>
                <c:pt idx="167">
                  <c:v>33557</c:v>
                </c:pt>
                <c:pt idx="168">
                  <c:v>33649</c:v>
                </c:pt>
                <c:pt idx="169">
                  <c:v>33739</c:v>
                </c:pt>
                <c:pt idx="170">
                  <c:v>33831</c:v>
                </c:pt>
                <c:pt idx="171">
                  <c:v>33923</c:v>
                </c:pt>
                <c:pt idx="172">
                  <c:v>34015</c:v>
                </c:pt>
                <c:pt idx="173">
                  <c:v>34104</c:v>
                </c:pt>
                <c:pt idx="174">
                  <c:v>34196</c:v>
                </c:pt>
                <c:pt idx="175">
                  <c:v>34288</c:v>
                </c:pt>
                <c:pt idx="176">
                  <c:v>34380</c:v>
                </c:pt>
                <c:pt idx="177">
                  <c:v>34469</c:v>
                </c:pt>
                <c:pt idx="178">
                  <c:v>34561</c:v>
                </c:pt>
                <c:pt idx="179">
                  <c:v>34653</c:v>
                </c:pt>
                <c:pt idx="180">
                  <c:v>34745</c:v>
                </c:pt>
                <c:pt idx="181">
                  <c:v>34834</c:v>
                </c:pt>
                <c:pt idx="182">
                  <c:v>34926</c:v>
                </c:pt>
                <c:pt idx="183">
                  <c:v>35018</c:v>
                </c:pt>
                <c:pt idx="184">
                  <c:v>35110</c:v>
                </c:pt>
                <c:pt idx="185">
                  <c:v>35200</c:v>
                </c:pt>
                <c:pt idx="186">
                  <c:v>35292</c:v>
                </c:pt>
                <c:pt idx="187">
                  <c:v>35384</c:v>
                </c:pt>
                <c:pt idx="188">
                  <c:v>35476</c:v>
                </c:pt>
                <c:pt idx="189">
                  <c:v>35565</c:v>
                </c:pt>
                <c:pt idx="190">
                  <c:v>35657</c:v>
                </c:pt>
                <c:pt idx="191">
                  <c:v>35749</c:v>
                </c:pt>
                <c:pt idx="192">
                  <c:v>35841</c:v>
                </c:pt>
                <c:pt idx="193">
                  <c:v>35930</c:v>
                </c:pt>
                <c:pt idx="194">
                  <c:v>36022</c:v>
                </c:pt>
                <c:pt idx="195">
                  <c:v>36114</c:v>
                </c:pt>
                <c:pt idx="196">
                  <c:v>36206</c:v>
                </c:pt>
                <c:pt idx="197">
                  <c:v>36295</c:v>
                </c:pt>
                <c:pt idx="198">
                  <c:v>36387</c:v>
                </c:pt>
                <c:pt idx="199">
                  <c:v>36479</c:v>
                </c:pt>
                <c:pt idx="200">
                  <c:v>36571</c:v>
                </c:pt>
                <c:pt idx="201">
                  <c:v>36661</c:v>
                </c:pt>
                <c:pt idx="202">
                  <c:v>36753</c:v>
                </c:pt>
                <c:pt idx="203">
                  <c:v>36845</c:v>
                </c:pt>
                <c:pt idx="204">
                  <c:v>36937</c:v>
                </c:pt>
                <c:pt idx="205">
                  <c:v>37026</c:v>
                </c:pt>
                <c:pt idx="206">
                  <c:v>37118</c:v>
                </c:pt>
                <c:pt idx="207">
                  <c:v>37210</c:v>
                </c:pt>
                <c:pt idx="208">
                  <c:v>37302</c:v>
                </c:pt>
                <c:pt idx="209">
                  <c:v>37391</c:v>
                </c:pt>
                <c:pt idx="210">
                  <c:v>37483</c:v>
                </c:pt>
                <c:pt idx="211">
                  <c:v>37575</c:v>
                </c:pt>
                <c:pt idx="212">
                  <c:v>37667</c:v>
                </c:pt>
                <c:pt idx="213">
                  <c:v>37756</c:v>
                </c:pt>
                <c:pt idx="214">
                  <c:v>37848</c:v>
                </c:pt>
                <c:pt idx="215">
                  <c:v>37940</c:v>
                </c:pt>
                <c:pt idx="216">
                  <c:v>38032</c:v>
                </c:pt>
                <c:pt idx="217">
                  <c:v>38122</c:v>
                </c:pt>
                <c:pt idx="218">
                  <c:v>38214</c:v>
                </c:pt>
                <c:pt idx="219">
                  <c:v>38306</c:v>
                </c:pt>
                <c:pt idx="220">
                  <c:v>38398</c:v>
                </c:pt>
                <c:pt idx="221">
                  <c:v>38487</c:v>
                </c:pt>
                <c:pt idx="222">
                  <c:v>38579</c:v>
                </c:pt>
                <c:pt idx="223">
                  <c:v>38671</c:v>
                </c:pt>
                <c:pt idx="224">
                  <c:v>38763</c:v>
                </c:pt>
                <c:pt idx="225">
                  <c:v>38852</c:v>
                </c:pt>
                <c:pt idx="226">
                  <c:v>38944</c:v>
                </c:pt>
                <c:pt idx="227">
                  <c:v>39036</c:v>
                </c:pt>
                <c:pt idx="228">
                  <c:v>39128</c:v>
                </c:pt>
                <c:pt idx="229">
                  <c:v>39217</c:v>
                </c:pt>
                <c:pt idx="230">
                  <c:v>39309</c:v>
                </c:pt>
                <c:pt idx="231">
                  <c:v>39401</c:v>
                </c:pt>
                <c:pt idx="232">
                  <c:v>39493</c:v>
                </c:pt>
                <c:pt idx="233">
                  <c:v>39583</c:v>
                </c:pt>
                <c:pt idx="234">
                  <c:v>39675</c:v>
                </c:pt>
                <c:pt idx="235">
                  <c:v>39767</c:v>
                </c:pt>
                <c:pt idx="236">
                  <c:v>39859</c:v>
                </c:pt>
                <c:pt idx="237">
                  <c:v>39948</c:v>
                </c:pt>
                <c:pt idx="238">
                  <c:v>40040</c:v>
                </c:pt>
                <c:pt idx="239">
                  <c:v>40132</c:v>
                </c:pt>
                <c:pt idx="240">
                  <c:v>40224</c:v>
                </c:pt>
                <c:pt idx="241">
                  <c:v>40313</c:v>
                </c:pt>
                <c:pt idx="242">
                  <c:v>40405</c:v>
                </c:pt>
                <c:pt idx="243">
                  <c:v>40497</c:v>
                </c:pt>
                <c:pt idx="244">
                  <c:v>40589</c:v>
                </c:pt>
                <c:pt idx="245">
                  <c:v>40678</c:v>
                </c:pt>
                <c:pt idx="246">
                  <c:v>40770</c:v>
                </c:pt>
                <c:pt idx="247">
                  <c:v>40862</c:v>
                </c:pt>
                <c:pt idx="248">
                  <c:v>40954</c:v>
                </c:pt>
                <c:pt idx="249">
                  <c:v>41044</c:v>
                </c:pt>
                <c:pt idx="250">
                  <c:v>41136</c:v>
                </c:pt>
                <c:pt idx="251">
                  <c:v>41228</c:v>
                </c:pt>
                <c:pt idx="252">
                  <c:v>41320</c:v>
                </c:pt>
                <c:pt idx="253">
                  <c:v>41409</c:v>
                </c:pt>
                <c:pt idx="254">
                  <c:v>41501</c:v>
                </c:pt>
                <c:pt idx="255">
                  <c:v>41593</c:v>
                </c:pt>
                <c:pt idx="256">
                  <c:v>41685</c:v>
                </c:pt>
                <c:pt idx="257">
                  <c:v>41774</c:v>
                </c:pt>
                <c:pt idx="258">
                  <c:v>41866</c:v>
                </c:pt>
                <c:pt idx="259">
                  <c:v>41958</c:v>
                </c:pt>
                <c:pt idx="260">
                  <c:v>42050</c:v>
                </c:pt>
                <c:pt idx="261">
                  <c:v>42139</c:v>
                </c:pt>
                <c:pt idx="262">
                  <c:v>42231</c:v>
                </c:pt>
                <c:pt idx="263">
                  <c:v>42323</c:v>
                </c:pt>
                <c:pt idx="264">
                  <c:v>42415</c:v>
                </c:pt>
                <c:pt idx="265">
                  <c:v>42505</c:v>
                </c:pt>
                <c:pt idx="266">
                  <c:v>42597</c:v>
                </c:pt>
                <c:pt idx="267">
                  <c:v>42689</c:v>
                </c:pt>
                <c:pt idx="268">
                  <c:v>42781</c:v>
                </c:pt>
                <c:pt idx="269">
                  <c:v>42870</c:v>
                </c:pt>
                <c:pt idx="270">
                  <c:v>42962</c:v>
                </c:pt>
                <c:pt idx="271">
                  <c:v>43054</c:v>
                </c:pt>
                <c:pt idx="272">
                  <c:v>43146</c:v>
                </c:pt>
                <c:pt idx="273">
                  <c:v>43235</c:v>
                </c:pt>
                <c:pt idx="274">
                  <c:v>43327</c:v>
                </c:pt>
                <c:pt idx="275">
                  <c:v>43419</c:v>
                </c:pt>
                <c:pt idx="276">
                  <c:v>43511</c:v>
                </c:pt>
                <c:pt idx="277">
                  <c:v>43600</c:v>
                </c:pt>
                <c:pt idx="278">
                  <c:v>43692</c:v>
                </c:pt>
                <c:pt idx="279">
                  <c:v>43784</c:v>
                </c:pt>
                <c:pt idx="280">
                  <c:v>43876</c:v>
                </c:pt>
                <c:pt idx="281">
                  <c:v>43966</c:v>
                </c:pt>
                <c:pt idx="282">
                  <c:v>44058</c:v>
                </c:pt>
                <c:pt idx="283">
                  <c:v>44150</c:v>
                </c:pt>
              </c:numCache>
            </c:numRef>
          </c:xVal>
          <c:yVal>
            <c:numRef>
              <c:f>'dat69'!$G$2:$G$285</c:f>
              <c:numCache>
                <c:formatCode>General</c:formatCode>
                <c:ptCount val="284"/>
                <c:pt idx="0">
                  <c:v>6.9688503783419478</c:v>
                </c:pt>
                <c:pt idx="1">
                  <c:v>6.9847163201182658</c:v>
                </c:pt>
                <c:pt idx="2">
                  <c:v>7.0210839642891401</c:v>
                </c:pt>
                <c:pt idx="3">
                  <c:v>6.9622434642662068</c:v>
                </c:pt>
                <c:pt idx="4">
                  <c:v>6.8966943316227125</c:v>
                </c:pt>
                <c:pt idx="5">
                  <c:v>6.9067547786485539</c:v>
                </c:pt>
                <c:pt idx="6">
                  <c:v>6.9392539460415081</c:v>
                </c:pt>
                <c:pt idx="7">
                  <c:v>6.9411900550683745</c:v>
                </c:pt>
                <c:pt idx="8">
                  <c:v>6.9726062513017535</c:v>
                </c:pt>
                <c:pt idx="9">
                  <c:v>6.9450510637258338</c:v>
                </c:pt>
                <c:pt idx="10">
                  <c:v>7.0066952268370404</c:v>
                </c:pt>
                <c:pt idx="11">
                  <c:v>6.9440872082295275</c:v>
                </c:pt>
                <c:pt idx="12">
                  <c:v>6.9744789110250451</c:v>
                </c:pt>
                <c:pt idx="13">
                  <c:v>7.0012456220694759</c:v>
                </c:pt>
                <c:pt idx="14">
                  <c:v>7.0210839642891401</c:v>
                </c:pt>
                <c:pt idx="15">
                  <c:v>6.9546388648809874</c:v>
                </c:pt>
                <c:pt idx="16">
                  <c:v>7.0527210492323231</c:v>
                </c:pt>
                <c:pt idx="17">
                  <c:v>6.9546388648809874</c:v>
                </c:pt>
                <c:pt idx="18">
                  <c:v>7.0492548412558369</c:v>
                </c:pt>
                <c:pt idx="19">
                  <c:v>7.0184017990692009</c:v>
                </c:pt>
                <c:pt idx="20">
                  <c:v>6.9957661563048505</c:v>
                </c:pt>
                <c:pt idx="21">
                  <c:v>7.020190708311925</c:v>
                </c:pt>
                <c:pt idx="22">
                  <c:v>7.0290875641496617</c:v>
                </c:pt>
                <c:pt idx="23">
                  <c:v>6.926577033222725</c:v>
                </c:pt>
                <c:pt idx="24">
                  <c:v>7.0157124204872297</c:v>
                </c:pt>
                <c:pt idx="25">
                  <c:v>7.0466472778487557</c:v>
                </c:pt>
                <c:pt idx="26">
                  <c:v>7.091742115095153</c:v>
                </c:pt>
                <c:pt idx="27">
                  <c:v>7.0030654587864616</c:v>
                </c:pt>
                <c:pt idx="28">
                  <c:v>7.0030654587864616</c:v>
                </c:pt>
                <c:pt idx="29">
                  <c:v>7.0112139873503674</c:v>
                </c:pt>
                <c:pt idx="30">
                  <c:v>7.026426808699636</c:v>
                </c:pt>
                <c:pt idx="31">
                  <c:v>6.9650803456014065</c:v>
                </c:pt>
                <c:pt idx="32">
                  <c:v>6.9772813416307473</c:v>
                </c:pt>
                <c:pt idx="33">
                  <c:v>6.9957661563048505</c:v>
                </c:pt>
                <c:pt idx="34">
                  <c:v>7.0509894470680452</c:v>
                </c:pt>
                <c:pt idx="35">
                  <c:v>6.9893352659745602</c:v>
                </c:pt>
                <c:pt idx="36">
                  <c:v>7.0457765768795113</c:v>
                </c:pt>
                <c:pt idx="37">
                  <c:v>7.0255383146385206</c:v>
                </c:pt>
                <c:pt idx="38">
                  <c:v>7.026426808699636</c:v>
                </c:pt>
                <c:pt idx="39">
                  <c:v>7.0596176282913827</c:v>
                </c:pt>
                <c:pt idx="40">
                  <c:v>7.0825485693552999</c:v>
                </c:pt>
                <c:pt idx="41">
                  <c:v>7.0791843946096682</c:v>
                </c:pt>
                <c:pt idx="42">
                  <c:v>7.1172055031643442</c:v>
                </c:pt>
                <c:pt idx="43">
                  <c:v>7.0758088639783869</c:v>
                </c:pt>
                <c:pt idx="44">
                  <c:v>7.0246490304536362</c:v>
                </c:pt>
                <c:pt idx="45">
                  <c:v>7.0681720003880422</c:v>
                </c:pt>
                <c:pt idx="46">
                  <c:v>7.063903961472068</c:v>
                </c:pt>
                <c:pt idx="47">
                  <c:v>6.9847163201182658</c:v>
                </c:pt>
                <c:pt idx="48">
                  <c:v>7.0900768357760917</c:v>
                </c:pt>
                <c:pt idx="49">
                  <c:v>7.0317412587631285</c:v>
                </c:pt>
                <c:pt idx="50">
                  <c:v>7.0825485693552999</c:v>
                </c:pt>
                <c:pt idx="51">
                  <c:v>7.0690234265782594</c:v>
                </c:pt>
                <c:pt idx="52">
                  <c:v>7.0766538154439509</c:v>
                </c:pt>
                <c:pt idx="53">
                  <c:v>7.0647590277918022</c:v>
                </c:pt>
                <c:pt idx="54">
                  <c:v>7.0884087786753947</c:v>
                </c:pt>
                <c:pt idx="55">
                  <c:v>6.9874902470009905</c:v>
                </c:pt>
                <c:pt idx="56">
                  <c:v>7.0621916322865559</c:v>
                </c:pt>
                <c:pt idx="57">
                  <c:v>7.1131421087070876</c:v>
                </c:pt>
                <c:pt idx="58">
                  <c:v>7.1074254741107046</c:v>
                </c:pt>
                <c:pt idx="59">
                  <c:v>7.0681720003880422</c:v>
                </c:pt>
                <c:pt idx="60">
                  <c:v>7.1252830915107115</c:v>
                </c:pt>
                <c:pt idx="61">
                  <c:v>7.0518556229558937</c:v>
                </c:pt>
                <c:pt idx="62">
                  <c:v>7.1340937211928663</c:v>
                </c:pt>
                <c:pt idx="63">
                  <c:v>7.0825485693552999</c:v>
                </c:pt>
                <c:pt idx="64">
                  <c:v>7.1236727852046071</c:v>
                </c:pt>
                <c:pt idx="65">
                  <c:v>7.0647590277918022</c:v>
                </c:pt>
                <c:pt idx="66">
                  <c:v>7.1041440929875268</c:v>
                </c:pt>
                <c:pt idx="67">
                  <c:v>7.0596176282913827</c:v>
                </c:pt>
                <c:pt idx="68">
                  <c:v>7.1777824161951971</c:v>
                </c:pt>
                <c:pt idx="69">
                  <c:v>7.1654934750608454</c:v>
                </c:pt>
                <c:pt idx="70">
                  <c:v>7.1066061377273027</c:v>
                </c:pt>
                <c:pt idx="71">
                  <c:v>7.1000271666292596</c:v>
                </c:pt>
                <c:pt idx="72">
                  <c:v>7.091742115095153</c:v>
                </c:pt>
                <c:pt idx="73">
                  <c:v>7.1514854639047352</c:v>
                </c:pt>
                <c:pt idx="74">
                  <c:v>7.1324975516600437</c:v>
                </c:pt>
                <c:pt idx="75">
                  <c:v>7.1212524532445416</c:v>
                </c:pt>
                <c:pt idx="76">
                  <c:v>7.1098794630722715</c:v>
                </c:pt>
                <c:pt idx="77">
                  <c:v>7.1276936993473985</c:v>
                </c:pt>
                <c:pt idx="78">
                  <c:v>7.1823521118852627</c:v>
                </c:pt>
                <c:pt idx="79">
                  <c:v>7.1123274447109113</c:v>
                </c:pt>
                <c:pt idx="80">
                  <c:v>7.1033220625261126</c:v>
                </c:pt>
                <c:pt idx="81">
                  <c:v>7.0892431550275141</c:v>
                </c:pt>
                <c:pt idx="82">
                  <c:v>7.187657164114956</c:v>
                </c:pt>
                <c:pt idx="83">
                  <c:v>7.1891677384203225</c:v>
                </c:pt>
                <c:pt idx="84">
                  <c:v>7.1340937211928663</c:v>
                </c:pt>
                <c:pt idx="85">
                  <c:v>7.1284959456800365</c:v>
                </c:pt>
                <c:pt idx="86">
                  <c:v>7.1292975489293733</c:v>
                </c:pt>
                <c:pt idx="87">
                  <c:v>7.1507014575925263</c:v>
                </c:pt>
                <c:pt idx="88">
                  <c:v>7.1212524532445416</c:v>
                </c:pt>
                <c:pt idx="89">
                  <c:v>7.0867379345105768</c:v>
                </c:pt>
                <c:pt idx="90">
                  <c:v>7.1220598816291423</c:v>
                </c:pt>
                <c:pt idx="91">
                  <c:v>7.0942348459247553</c:v>
                </c:pt>
                <c:pt idx="92">
                  <c:v>7.161622002939187</c:v>
                </c:pt>
                <c:pt idx="93">
                  <c:v>7.1762545320171442</c:v>
                </c:pt>
                <c:pt idx="94">
                  <c:v>7.1670378769122198</c:v>
                </c:pt>
                <c:pt idx="95">
                  <c:v>7.0958932210975316</c:v>
                </c:pt>
                <c:pt idx="96">
                  <c:v>7.1284959456800365</c:v>
                </c:pt>
                <c:pt idx="97">
                  <c:v>7.167809184316444</c:v>
                </c:pt>
                <c:pt idx="98">
                  <c:v>7.1891677384203225</c:v>
                </c:pt>
                <c:pt idx="99">
                  <c:v>7.1553963018967339</c:v>
                </c:pt>
                <c:pt idx="100">
                  <c:v>7.1546153569136628</c:v>
                </c:pt>
                <c:pt idx="101">
                  <c:v>7.1577354842499066</c:v>
                </c:pt>
                <c:pt idx="102">
                  <c:v>7.1436176027041212</c:v>
                </c:pt>
                <c:pt idx="103">
                  <c:v>7.1561766374806153</c:v>
                </c:pt>
                <c:pt idx="104">
                  <c:v>7.1057861294812712</c:v>
                </c:pt>
                <c:pt idx="105">
                  <c:v>7.1090621356871724</c:v>
                </c:pt>
                <c:pt idx="106">
                  <c:v>7.2211050981824956</c:v>
                </c:pt>
                <c:pt idx="107">
                  <c:v>7.1420365747068031</c:v>
                </c:pt>
                <c:pt idx="108">
                  <c:v>7.1777824161951971</c:v>
                </c:pt>
                <c:pt idx="109">
                  <c:v>7.1701195434496281</c:v>
                </c:pt>
                <c:pt idx="110">
                  <c:v>7.2137683081186417</c:v>
                </c:pt>
                <c:pt idx="111">
                  <c:v>7.1561766374806153</c:v>
                </c:pt>
                <c:pt idx="112">
                  <c:v>7.1631723908466425</c:v>
                </c:pt>
                <c:pt idx="113">
                  <c:v>7.1989312406881734</c:v>
                </c:pt>
                <c:pt idx="114">
                  <c:v>7.246368080102461</c:v>
                </c:pt>
                <c:pt idx="115">
                  <c:v>7.1592919047975645</c:v>
                </c:pt>
                <c:pt idx="116">
                  <c:v>7.15305163493748</c:v>
                </c:pt>
                <c:pt idx="117">
                  <c:v>7.1823521118852627</c:v>
                </c:pt>
                <c:pt idx="118">
                  <c:v>7.233455418621439</c:v>
                </c:pt>
                <c:pt idx="119">
                  <c:v>7.1420365747068031</c:v>
                </c:pt>
                <c:pt idx="120">
                  <c:v>7.1268908088988079</c:v>
                </c:pt>
                <c:pt idx="121">
                  <c:v>7.167809184316444</c:v>
                </c:pt>
                <c:pt idx="122">
                  <c:v>7.2152399787300974</c:v>
                </c:pt>
                <c:pt idx="123">
                  <c:v>7.1514854639047352</c:v>
                </c:pt>
                <c:pt idx="124">
                  <c:v>7.1838707150624526</c:v>
                </c:pt>
                <c:pt idx="125">
                  <c:v>7.2181768384034077</c:v>
                </c:pt>
                <c:pt idx="126">
                  <c:v>7.1929342212157996</c:v>
                </c:pt>
                <c:pt idx="127">
                  <c:v>7.1316985104669115</c:v>
                </c:pt>
                <c:pt idx="128">
                  <c:v>7.2063772914722524</c:v>
                </c:pt>
                <c:pt idx="129">
                  <c:v>7.2442275156033498</c:v>
                </c:pt>
                <c:pt idx="130">
                  <c:v>7.2534703826845277</c:v>
                </c:pt>
                <c:pt idx="131">
                  <c:v>7.1861443045223252</c:v>
                </c:pt>
                <c:pt idx="132">
                  <c:v>7.2218358252884487</c:v>
                </c:pt>
                <c:pt idx="133">
                  <c:v>7.2356191410667501</c:v>
                </c:pt>
                <c:pt idx="134">
                  <c:v>7.2689201281937219</c:v>
                </c:pt>
                <c:pt idx="135">
                  <c:v>7.1459844677143876</c:v>
                </c:pt>
                <c:pt idx="136">
                  <c:v>7.2619270927027513</c:v>
                </c:pt>
                <c:pt idx="137">
                  <c:v>7.2327331361776146</c:v>
                </c:pt>
                <c:pt idx="138">
                  <c:v>7.2363393427543441</c:v>
                </c:pt>
                <c:pt idx="139">
                  <c:v>7.1770187659099003</c:v>
                </c:pt>
                <c:pt idx="140">
                  <c:v>7.215975002651466</c:v>
                </c:pt>
                <c:pt idx="141">
                  <c:v>7.2041492920359396</c:v>
                </c:pt>
                <c:pt idx="142">
                  <c:v>7.2957350727492818</c:v>
                </c:pt>
                <c:pt idx="143">
                  <c:v>7.2100796281707877</c:v>
                </c:pt>
                <c:pt idx="144">
                  <c:v>7.1996783456911722</c:v>
                </c:pt>
                <c:pt idx="145">
                  <c:v>7.2737863178448947</c:v>
                </c:pt>
                <c:pt idx="146">
                  <c:v>7.233455418621439</c:v>
                </c:pt>
                <c:pt idx="147">
                  <c:v>7.2619270927027513</c:v>
                </c:pt>
                <c:pt idx="148">
                  <c:v>7.2723983925700466</c:v>
                </c:pt>
                <c:pt idx="149">
                  <c:v>7.2130316598348694</c:v>
                </c:pt>
                <c:pt idx="150">
                  <c:v>7.2696167496081694</c:v>
                </c:pt>
                <c:pt idx="151">
                  <c:v>7.2100796281707877</c:v>
                </c:pt>
                <c:pt idx="152">
                  <c:v>7.2130316598348694</c:v>
                </c:pt>
                <c:pt idx="153">
                  <c:v>7.2305631534092925</c:v>
                </c:pt>
                <c:pt idx="154">
                  <c:v>7.2562972396906806</c:v>
                </c:pt>
                <c:pt idx="155">
                  <c:v>7.2152399787300974</c:v>
                </c:pt>
                <c:pt idx="156">
                  <c:v>7.2779385729456614</c:v>
                </c:pt>
                <c:pt idx="157">
                  <c:v>7.2772477266314839</c:v>
                </c:pt>
                <c:pt idx="158">
                  <c:v>7.2710085382809924</c:v>
                </c:pt>
                <c:pt idx="159">
                  <c:v>7.2997973667581606</c:v>
                </c:pt>
                <c:pt idx="160">
                  <c:v>7.3218497137883558</c:v>
                </c:pt>
                <c:pt idx="161">
                  <c:v>7.2619270927027513</c:v>
                </c:pt>
                <c:pt idx="162">
                  <c:v>7.2717037068873678</c:v>
                </c:pt>
                <c:pt idx="163">
                  <c:v>7.2019163175316274</c:v>
                </c:pt>
                <c:pt idx="164">
                  <c:v>7.2633296174768365</c:v>
                </c:pt>
                <c:pt idx="165">
                  <c:v>7.2710085382809924</c:v>
                </c:pt>
                <c:pt idx="166">
                  <c:v>7.2841348061952047</c:v>
                </c:pt>
                <c:pt idx="167">
                  <c:v>7.2717037068873678</c:v>
                </c:pt>
                <c:pt idx="168">
                  <c:v>7.2115567333138015</c:v>
                </c:pt>
                <c:pt idx="169">
                  <c:v>7.1869010204116313</c:v>
                </c:pt>
                <c:pt idx="170">
                  <c:v>7.2577076771600426</c:v>
                </c:pt>
                <c:pt idx="171">
                  <c:v>7.2584121505953068</c:v>
                </c:pt>
                <c:pt idx="172">
                  <c:v>7.2513449833722143</c:v>
                </c:pt>
                <c:pt idx="173">
                  <c:v>7.301147805856032</c:v>
                </c:pt>
                <c:pt idx="174">
                  <c:v>7.3165481771829759</c:v>
                </c:pt>
                <c:pt idx="175">
                  <c:v>7.3132203870903014</c:v>
                </c:pt>
                <c:pt idx="176">
                  <c:v>7.3024964237273258</c:v>
                </c:pt>
                <c:pt idx="177">
                  <c:v>7.3317149697264661</c:v>
                </c:pt>
                <c:pt idx="178">
                  <c:v>7.3125534981025977</c:v>
                </c:pt>
                <c:pt idx="179">
                  <c:v>7.2570027070920728</c:v>
                </c:pt>
                <c:pt idx="180">
                  <c:v>7.2406496942554659</c:v>
                </c:pt>
                <c:pt idx="181">
                  <c:v>7.2534703826845277</c:v>
                </c:pt>
                <c:pt idx="182">
                  <c:v>7.2793188354146201</c:v>
                </c:pt>
                <c:pt idx="183">
                  <c:v>7.2527624180531873</c:v>
                </c:pt>
                <c:pt idx="184">
                  <c:v>7.2896105214511673</c:v>
                </c:pt>
                <c:pt idx="185">
                  <c:v>7.3472997007431644</c:v>
                </c:pt>
                <c:pt idx="186">
                  <c:v>7.3472997007431644</c:v>
                </c:pt>
                <c:pt idx="187">
                  <c:v>7.2902928824465967</c:v>
                </c:pt>
                <c:pt idx="188">
                  <c:v>7.307202314764738</c:v>
                </c:pt>
                <c:pt idx="189">
                  <c:v>7.3304052118444023</c:v>
                </c:pt>
                <c:pt idx="190">
                  <c:v>7.3165481771829759</c:v>
                </c:pt>
                <c:pt idx="191">
                  <c:v>7.2930176797727819</c:v>
                </c:pt>
                <c:pt idx="192">
                  <c:v>7.3105501585344221</c:v>
                </c:pt>
                <c:pt idx="193">
                  <c:v>7.3362856600212973</c:v>
                </c:pt>
                <c:pt idx="194">
                  <c:v>7.2957350727492818</c:v>
                </c:pt>
                <c:pt idx="195">
                  <c:v>7.2984451015081468</c:v>
                </c:pt>
                <c:pt idx="196">
                  <c:v>7.2916562091744606</c:v>
                </c:pt>
                <c:pt idx="197">
                  <c:v>7.3145528323240798</c:v>
                </c:pt>
                <c:pt idx="198">
                  <c:v>7.3317149697264661</c:v>
                </c:pt>
                <c:pt idx="199">
                  <c:v>7.2548848100773382</c:v>
                </c:pt>
                <c:pt idx="200">
                  <c:v>7.2820736580934646</c:v>
                </c:pt>
                <c:pt idx="201">
                  <c:v>7.2834482287566313</c:v>
                </c:pt>
                <c:pt idx="202">
                  <c:v>7.3395376954076745</c:v>
                </c:pt>
                <c:pt idx="203">
                  <c:v>7.2758646005465328</c:v>
                </c:pt>
                <c:pt idx="204">
                  <c:v>7.2984451015081468</c:v>
                </c:pt>
                <c:pt idx="205">
                  <c:v>7.2640301428995295</c:v>
                </c:pt>
                <c:pt idx="206">
                  <c:v>7.2909747781429814</c:v>
                </c:pt>
                <c:pt idx="207">
                  <c:v>7.2619270927027513</c:v>
                </c:pt>
                <c:pt idx="208">
                  <c:v>7.293697720601438</c:v>
                </c:pt>
                <c:pt idx="209">
                  <c:v>7.3362856600212973</c:v>
                </c:pt>
                <c:pt idx="210">
                  <c:v>7.360103972989152</c:v>
                </c:pt>
                <c:pt idx="211">
                  <c:v>7.2820736580934646</c:v>
                </c:pt>
                <c:pt idx="212">
                  <c:v>7.2855065485227852</c:v>
                </c:pt>
                <c:pt idx="213">
                  <c:v>7.2758646005465328</c:v>
                </c:pt>
                <c:pt idx="214">
                  <c:v>7.3152183897529746</c:v>
                </c:pt>
                <c:pt idx="215">
                  <c:v>7.2406496942554659</c:v>
                </c:pt>
                <c:pt idx="216">
                  <c:v>7.2868764117506997</c:v>
                </c:pt>
                <c:pt idx="217">
                  <c:v>7.2779385729456614</c:v>
                </c:pt>
                <c:pt idx="218">
                  <c:v>7.3304052118444023</c:v>
                </c:pt>
                <c:pt idx="219">
                  <c:v>7.2848209125686036</c:v>
                </c:pt>
                <c:pt idx="220">
                  <c:v>7.2909747781429814</c:v>
                </c:pt>
                <c:pt idx="221">
                  <c:v>7.2997973667581606</c:v>
                </c:pt>
                <c:pt idx="222">
                  <c:v>7.3271232922592926</c:v>
                </c:pt>
                <c:pt idx="223">
                  <c:v>7.2957350727492818</c:v>
                </c:pt>
                <c:pt idx="224">
                  <c:v>7.3211885567394779</c:v>
                </c:pt>
                <c:pt idx="225">
                  <c:v>7.2943772992888212</c:v>
                </c:pt>
                <c:pt idx="226">
                  <c:v>7.3349818788718144</c:v>
                </c:pt>
                <c:pt idx="227">
                  <c:v>7.2800082528841878</c:v>
                </c:pt>
                <c:pt idx="228">
                  <c:v>7.3472997007431644</c:v>
                </c:pt>
                <c:pt idx="229">
                  <c:v>7.3375877435385961</c:v>
                </c:pt>
                <c:pt idx="230">
                  <c:v>7.3158835045097854</c:v>
                </c:pt>
                <c:pt idx="231">
                  <c:v>7.3085427975391903</c:v>
                </c:pt>
                <c:pt idx="232">
                  <c:v>7.3498737047383367</c:v>
                </c:pt>
                <c:pt idx="233">
                  <c:v>7.3356339819272014</c:v>
                </c:pt>
                <c:pt idx="234">
                  <c:v>7.3152183897529746</c:v>
                </c:pt>
                <c:pt idx="235">
                  <c:v>7.2668273475205911</c:v>
                </c:pt>
                <c:pt idx="236">
                  <c:v>7.3284373528951621</c:v>
                </c:pt>
                <c:pt idx="237">
                  <c:v>7.3284373528951621</c:v>
                </c:pt>
                <c:pt idx="238">
                  <c:v>7.3369369137076177</c:v>
                </c:pt>
                <c:pt idx="239">
                  <c:v>7.3264656138403224</c:v>
                </c:pt>
                <c:pt idx="240">
                  <c:v>7.3651801260210128</c:v>
                </c:pt>
                <c:pt idx="241">
                  <c:v>7.4085305668946262</c:v>
                </c:pt>
                <c:pt idx="242">
                  <c:v>7.3895639536776354</c:v>
                </c:pt>
                <c:pt idx="243">
                  <c:v>7.3485875309275928</c:v>
                </c:pt>
                <c:pt idx="244">
                  <c:v>7.3944931072190379</c:v>
                </c:pt>
                <c:pt idx="245">
                  <c:v>7.3852309230665734</c:v>
                </c:pt>
                <c:pt idx="246">
                  <c:v>7.3421317305847218</c:v>
                </c:pt>
                <c:pt idx="247">
                  <c:v>7.2689201281937219</c:v>
                </c:pt>
                <c:pt idx="248">
                  <c:v>7.3517998690577766</c:v>
                </c:pt>
                <c:pt idx="249">
                  <c:v>7.3453648404168685</c:v>
                </c:pt>
                <c:pt idx="250">
                  <c:v>7.3388881338388794</c:v>
                </c:pt>
                <c:pt idx="251">
                  <c:v>7.3238305662023171</c:v>
                </c:pt>
                <c:pt idx="252">
                  <c:v>7.3304052118444023</c:v>
                </c:pt>
                <c:pt idx="253">
                  <c:v>7.3537223303996315</c:v>
                </c:pt>
                <c:pt idx="254">
                  <c:v>7.3382381500655889</c:v>
                </c:pt>
                <c:pt idx="255">
                  <c:v>7.2997973667581606</c:v>
                </c:pt>
                <c:pt idx="256">
                  <c:v>7.3258075025957732</c:v>
                </c:pt>
                <c:pt idx="257">
                  <c:v>7.3369369137076177</c:v>
                </c:pt>
                <c:pt idx="258">
                  <c:v>7.3727463664043285</c:v>
                </c:pt>
                <c:pt idx="259">
                  <c:v>7.3651801260210128</c:v>
                </c:pt>
                <c:pt idx="260">
                  <c:v>7.3414838523631607</c:v>
                </c:pt>
                <c:pt idx="261">
                  <c:v>7.3746290152189449</c:v>
                </c:pt>
                <c:pt idx="262">
                  <c:v>7.3790081276283042</c:v>
                </c:pt>
                <c:pt idx="263">
                  <c:v>7.3408355541232746</c:v>
                </c:pt>
                <c:pt idx="264">
                  <c:v>7.4133673356952405</c:v>
                </c:pt>
                <c:pt idx="265">
                  <c:v>7.3670770598810122</c:v>
                </c:pt>
                <c:pt idx="266">
                  <c:v>7.3740018593501606</c:v>
                </c:pt>
                <c:pt idx="267">
                  <c:v>7.2930176797727819</c:v>
                </c:pt>
                <c:pt idx="268">
                  <c:v>7.3543623304214769</c:v>
                </c:pt>
                <c:pt idx="269">
                  <c:v>7.3530819205154323</c:v>
                </c:pt>
                <c:pt idx="270">
                  <c:v>7.3562798765507482</c:v>
                </c:pt>
                <c:pt idx="271">
                  <c:v>7.2909747781429814</c:v>
                </c:pt>
                <c:pt idx="272">
                  <c:v>7.3251489579555749</c:v>
                </c:pt>
                <c:pt idx="273">
                  <c:v>7.2997973667581606</c:v>
                </c:pt>
                <c:pt idx="274">
                  <c:v>7.3907985217356762</c:v>
                </c:pt>
                <c:pt idx="275">
                  <c:v>7.3356339819272014</c:v>
                </c:pt>
                <c:pt idx="276">
                  <c:v>7.3833681469923835</c:v>
                </c:pt>
                <c:pt idx="277">
                  <c:v>7.3401868353201154</c:v>
                </c:pt>
                <c:pt idx="278">
                  <c:v>7.3702306418070807</c:v>
                </c:pt>
                <c:pt idx="279">
                  <c:v>7.3447190541496727</c:v>
                </c:pt>
                <c:pt idx="280">
                  <c:v>7.3388881338388794</c:v>
                </c:pt>
                <c:pt idx="281">
                  <c:v>7.3158835045097854</c:v>
                </c:pt>
                <c:pt idx="282">
                  <c:v>7.3556411029742534</c:v>
                </c:pt>
                <c:pt idx="283">
                  <c:v>7.3145528323240798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F-4E7A-83E9-2A51463D3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99023"/>
        <c:axId val="285104847"/>
      </c:scatterChart>
      <c:valAx>
        <c:axId val="285099023"/>
        <c:scaling>
          <c:orientation val="minMax"/>
          <c:max val="45000"/>
          <c:min val="17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Date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04847"/>
        <c:crosses val="autoZero"/>
        <c:crossBetween val="midCat"/>
      </c:valAx>
      <c:valAx>
        <c:axId val="2851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9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0" i="0" baseline="0">
                <a:effectLst/>
              </a:rPr>
              <a:t>Comevement of Cycles in data 80 and data 69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'dat80'!$O$1</c:f>
              <c:strCache>
                <c:ptCount val="1"/>
                <c:pt idx="0">
                  <c:v>Cycle 80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'dat80'!$B$4:$B$285</c:f>
              <c:numCache>
                <c:formatCode>m/d/yyyy</c:formatCode>
                <c:ptCount val="282"/>
                <c:pt idx="0">
                  <c:v>18490</c:v>
                </c:pt>
                <c:pt idx="1">
                  <c:v>18582</c:v>
                </c:pt>
                <c:pt idx="2">
                  <c:v>18674</c:v>
                </c:pt>
                <c:pt idx="3">
                  <c:v>18763</c:v>
                </c:pt>
                <c:pt idx="4">
                  <c:v>18855</c:v>
                </c:pt>
                <c:pt idx="5">
                  <c:v>18947</c:v>
                </c:pt>
                <c:pt idx="6">
                  <c:v>19039</c:v>
                </c:pt>
                <c:pt idx="7">
                  <c:v>19129</c:v>
                </c:pt>
                <c:pt idx="8">
                  <c:v>19221</c:v>
                </c:pt>
                <c:pt idx="9">
                  <c:v>19313</c:v>
                </c:pt>
                <c:pt idx="10">
                  <c:v>19405</c:v>
                </c:pt>
                <c:pt idx="11">
                  <c:v>19494</c:v>
                </c:pt>
                <c:pt idx="12">
                  <c:v>19586</c:v>
                </c:pt>
                <c:pt idx="13">
                  <c:v>19678</c:v>
                </c:pt>
                <c:pt idx="14">
                  <c:v>19770</c:v>
                </c:pt>
                <c:pt idx="15">
                  <c:v>19859</c:v>
                </c:pt>
                <c:pt idx="16">
                  <c:v>19951</c:v>
                </c:pt>
                <c:pt idx="17">
                  <c:v>20043</c:v>
                </c:pt>
                <c:pt idx="18">
                  <c:v>20135</c:v>
                </c:pt>
                <c:pt idx="19">
                  <c:v>20224</c:v>
                </c:pt>
                <c:pt idx="20">
                  <c:v>20316</c:v>
                </c:pt>
                <c:pt idx="21">
                  <c:v>20408</c:v>
                </c:pt>
                <c:pt idx="22">
                  <c:v>20500</c:v>
                </c:pt>
                <c:pt idx="23">
                  <c:v>20590</c:v>
                </c:pt>
                <c:pt idx="24">
                  <c:v>20682</c:v>
                </c:pt>
                <c:pt idx="25">
                  <c:v>20774</c:v>
                </c:pt>
                <c:pt idx="26">
                  <c:v>20866</c:v>
                </c:pt>
                <c:pt idx="27">
                  <c:v>20955</c:v>
                </c:pt>
                <c:pt idx="28">
                  <c:v>21047</c:v>
                </c:pt>
                <c:pt idx="29">
                  <c:v>21139</c:v>
                </c:pt>
                <c:pt idx="30">
                  <c:v>21231</c:v>
                </c:pt>
                <c:pt idx="31">
                  <c:v>21320</c:v>
                </c:pt>
                <c:pt idx="32">
                  <c:v>21412</c:v>
                </c:pt>
                <c:pt idx="33">
                  <c:v>21504</c:v>
                </c:pt>
                <c:pt idx="34">
                  <c:v>21596</c:v>
                </c:pt>
                <c:pt idx="35">
                  <c:v>21685</c:v>
                </c:pt>
                <c:pt idx="36">
                  <c:v>21777</c:v>
                </c:pt>
                <c:pt idx="37">
                  <c:v>21869</c:v>
                </c:pt>
                <c:pt idx="38">
                  <c:v>21961</c:v>
                </c:pt>
                <c:pt idx="39">
                  <c:v>22051</c:v>
                </c:pt>
                <c:pt idx="40">
                  <c:v>22143</c:v>
                </c:pt>
                <c:pt idx="41">
                  <c:v>22235</c:v>
                </c:pt>
                <c:pt idx="42">
                  <c:v>22327</c:v>
                </c:pt>
                <c:pt idx="43">
                  <c:v>22416</c:v>
                </c:pt>
                <c:pt idx="44">
                  <c:v>22508</c:v>
                </c:pt>
                <c:pt idx="45">
                  <c:v>22600</c:v>
                </c:pt>
                <c:pt idx="46">
                  <c:v>22692</c:v>
                </c:pt>
                <c:pt idx="47">
                  <c:v>22781</c:v>
                </c:pt>
                <c:pt idx="48">
                  <c:v>22873</c:v>
                </c:pt>
                <c:pt idx="49">
                  <c:v>22965</c:v>
                </c:pt>
                <c:pt idx="50">
                  <c:v>23057</c:v>
                </c:pt>
                <c:pt idx="51">
                  <c:v>23146</c:v>
                </c:pt>
                <c:pt idx="52">
                  <c:v>23238</c:v>
                </c:pt>
                <c:pt idx="53">
                  <c:v>23330</c:v>
                </c:pt>
                <c:pt idx="54">
                  <c:v>23422</c:v>
                </c:pt>
                <c:pt idx="55">
                  <c:v>23512</c:v>
                </c:pt>
                <c:pt idx="56">
                  <c:v>23604</c:v>
                </c:pt>
                <c:pt idx="57">
                  <c:v>23696</c:v>
                </c:pt>
                <c:pt idx="58">
                  <c:v>23788</c:v>
                </c:pt>
                <c:pt idx="59">
                  <c:v>23877</c:v>
                </c:pt>
                <c:pt idx="60">
                  <c:v>23969</c:v>
                </c:pt>
                <c:pt idx="61">
                  <c:v>24061</c:v>
                </c:pt>
                <c:pt idx="62">
                  <c:v>24153</c:v>
                </c:pt>
                <c:pt idx="63">
                  <c:v>24242</c:v>
                </c:pt>
                <c:pt idx="64">
                  <c:v>24334</c:v>
                </c:pt>
                <c:pt idx="65">
                  <c:v>24426</c:v>
                </c:pt>
                <c:pt idx="66">
                  <c:v>24518</c:v>
                </c:pt>
                <c:pt idx="67">
                  <c:v>24607</c:v>
                </c:pt>
                <c:pt idx="68">
                  <c:v>24699</c:v>
                </c:pt>
                <c:pt idx="69">
                  <c:v>24791</c:v>
                </c:pt>
                <c:pt idx="70">
                  <c:v>24883</c:v>
                </c:pt>
                <c:pt idx="71">
                  <c:v>24973</c:v>
                </c:pt>
                <c:pt idx="72">
                  <c:v>25065</c:v>
                </c:pt>
                <c:pt idx="73">
                  <c:v>25157</c:v>
                </c:pt>
                <c:pt idx="74">
                  <c:v>25249</c:v>
                </c:pt>
                <c:pt idx="75">
                  <c:v>25338</c:v>
                </c:pt>
                <c:pt idx="76">
                  <c:v>25430</c:v>
                </c:pt>
                <c:pt idx="77">
                  <c:v>25522</c:v>
                </c:pt>
                <c:pt idx="78">
                  <c:v>25614</c:v>
                </c:pt>
                <c:pt idx="79">
                  <c:v>25703</c:v>
                </c:pt>
                <c:pt idx="80">
                  <c:v>25795</c:v>
                </c:pt>
                <c:pt idx="81">
                  <c:v>25887</c:v>
                </c:pt>
                <c:pt idx="82">
                  <c:v>25979</c:v>
                </c:pt>
                <c:pt idx="83">
                  <c:v>26068</c:v>
                </c:pt>
                <c:pt idx="84">
                  <c:v>26160</c:v>
                </c:pt>
                <c:pt idx="85">
                  <c:v>26252</c:v>
                </c:pt>
                <c:pt idx="86">
                  <c:v>26344</c:v>
                </c:pt>
                <c:pt idx="87">
                  <c:v>26434</c:v>
                </c:pt>
                <c:pt idx="88">
                  <c:v>26526</c:v>
                </c:pt>
                <c:pt idx="89">
                  <c:v>26618</c:v>
                </c:pt>
                <c:pt idx="90">
                  <c:v>26710</c:v>
                </c:pt>
                <c:pt idx="91">
                  <c:v>26799</c:v>
                </c:pt>
                <c:pt idx="92">
                  <c:v>26891</c:v>
                </c:pt>
                <c:pt idx="93">
                  <c:v>26983</c:v>
                </c:pt>
                <c:pt idx="94">
                  <c:v>27075</c:v>
                </c:pt>
                <c:pt idx="95">
                  <c:v>27164</c:v>
                </c:pt>
                <c:pt idx="96">
                  <c:v>27256</c:v>
                </c:pt>
                <c:pt idx="97">
                  <c:v>27348</c:v>
                </c:pt>
                <c:pt idx="98">
                  <c:v>27440</c:v>
                </c:pt>
                <c:pt idx="99">
                  <c:v>27529</c:v>
                </c:pt>
                <c:pt idx="100">
                  <c:v>27621</c:v>
                </c:pt>
                <c:pt idx="101">
                  <c:v>27713</c:v>
                </c:pt>
                <c:pt idx="102">
                  <c:v>27805</c:v>
                </c:pt>
                <c:pt idx="103">
                  <c:v>27895</c:v>
                </c:pt>
                <c:pt idx="104">
                  <c:v>27987</c:v>
                </c:pt>
                <c:pt idx="105">
                  <c:v>28079</c:v>
                </c:pt>
                <c:pt idx="106">
                  <c:v>28171</c:v>
                </c:pt>
                <c:pt idx="107">
                  <c:v>28260</c:v>
                </c:pt>
                <c:pt idx="108">
                  <c:v>28352</c:v>
                </c:pt>
                <c:pt idx="109">
                  <c:v>28444</c:v>
                </c:pt>
                <c:pt idx="110">
                  <c:v>28536</c:v>
                </c:pt>
                <c:pt idx="111">
                  <c:v>28625</c:v>
                </c:pt>
                <c:pt idx="112">
                  <c:v>28717</c:v>
                </c:pt>
                <c:pt idx="113">
                  <c:v>28809</c:v>
                </c:pt>
                <c:pt idx="114">
                  <c:v>28901</c:v>
                </c:pt>
                <c:pt idx="115">
                  <c:v>28990</c:v>
                </c:pt>
                <c:pt idx="116">
                  <c:v>29082</c:v>
                </c:pt>
                <c:pt idx="117">
                  <c:v>29174</c:v>
                </c:pt>
                <c:pt idx="118">
                  <c:v>29266</c:v>
                </c:pt>
                <c:pt idx="119">
                  <c:v>29356</c:v>
                </c:pt>
                <c:pt idx="120">
                  <c:v>29448</c:v>
                </c:pt>
                <c:pt idx="121">
                  <c:v>29540</c:v>
                </c:pt>
                <c:pt idx="122">
                  <c:v>29632</c:v>
                </c:pt>
                <c:pt idx="123">
                  <c:v>29721</c:v>
                </c:pt>
                <c:pt idx="124">
                  <c:v>29813</c:v>
                </c:pt>
                <c:pt idx="125">
                  <c:v>29905</c:v>
                </c:pt>
                <c:pt idx="126">
                  <c:v>29997</c:v>
                </c:pt>
                <c:pt idx="127">
                  <c:v>30086</c:v>
                </c:pt>
                <c:pt idx="128">
                  <c:v>30178</c:v>
                </c:pt>
                <c:pt idx="129">
                  <c:v>30270</c:v>
                </c:pt>
                <c:pt idx="130">
                  <c:v>30362</c:v>
                </c:pt>
                <c:pt idx="131">
                  <c:v>30451</c:v>
                </c:pt>
                <c:pt idx="132">
                  <c:v>30543</c:v>
                </c:pt>
                <c:pt idx="133">
                  <c:v>30635</c:v>
                </c:pt>
                <c:pt idx="134">
                  <c:v>30727</c:v>
                </c:pt>
                <c:pt idx="135">
                  <c:v>30817</c:v>
                </c:pt>
                <c:pt idx="136">
                  <c:v>30909</c:v>
                </c:pt>
                <c:pt idx="137">
                  <c:v>31001</c:v>
                </c:pt>
                <c:pt idx="138">
                  <c:v>31093</c:v>
                </c:pt>
                <c:pt idx="139">
                  <c:v>31182</c:v>
                </c:pt>
                <c:pt idx="140">
                  <c:v>31274</c:v>
                </c:pt>
                <c:pt idx="141">
                  <c:v>31366</c:v>
                </c:pt>
                <c:pt idx="142">
                  <c:v>31458</c:v>
                </c:pt>
                <c:pt idx="143">
                  <c:v>31547</c:v>
                </c:pt>
                <c:pt idx="144">
                  <c:v>31639</c:v>
                </c:pt>
                <c:pt idx="145">
                  <c:v>31731</c:v>
                </c:pt>
                <c:pt idx="146">
                  <c:v>31823</c:v>
                </c:pt>
                <c:pt idx="147">
                  <c:v>31912</c:v>
                </c:pt>
                <c:pt idx="148">
                  <c:v>32004</c:v>
                </c:pt>
                <c:pt idx="149">
                  <c:v>32096</c:v>
                </c:pt>
                <c:pt idx="150">
                  <c:v>32188</c:v>
                </c:pt>
                <c:pt idx="151">
                  <c:v>32278</c:v>
                </c:pt>
                <c:pt idx="152">
                  <c:v>32370</c:v>
                </c:pt>
                <c:pt idx="153">
                  <c:v>32462</c:v>
                </c:pt>
                <c:pt idx="154">
                  <c:v>32554</c:v>
                </c:pt>
                <c:pt idx="155">
                  <c:v>32643</c:v>
                </c:pt>
                <c:pt idx="156">
                  <c:v>32735</c:v>
                </c:pt>
                <c:pt idx="157">
                  <c:v>32827</c:v>
                </c:pt>
                <c:pt idx="158">
                  <c:v>32919</c:v>
                </c:pt>
                <c:pt idx="159">
                  <c:v>33008</c:v>
                </c:pt>
                <c:pt idx="160">
                  <c:v>33100</c:v>
                </c:pt>
                <c:pt idx="161">
                  <c:v>33192</c:v>
                </c:pt>
                <c:pt idx="162">
                  <c:v>33284</c:v>
                </c:pt>
                <c:pt idx="163">
                  <c:v>33373</c:v>
                </c:pt>
                <c:pt idx="164">
                  <c:v>33465</c:v>
                </c:pt>
                <c:pt idx="165">
                  <c:v>33557</c:v>
                </c:pt>
                <c:pt idx="166">
                  <c:v>33649</c:v>
                </c:pt>
                <c:pt idx="167">
                  <c:v>33739</c:v>
                </c:pt>
                <c:pt idx="168">
                  <c:v>33831</c:v>
                </c:pt>
                <c:pt idx="169">
                  <c:v>33923</c:v>
                </c:pt>
                <c:pt idx="170">
                  <c:v>34015</c:v>
                </c:pt>
                <c:pt idx="171">
                  <c:v>34104</c:v>
                </c:pt>
                <c:pt idx="172">
                  <c:v>34196</c:v>
                </c:pt>
                <c:pt idx="173">
                  <c:v>34288</c:v>
                </c:pt>
                <c:pt idx="174">
                  <c:v>34380</c:v>
                </c:pt>
                <c:pt idx="175">
                  <c:v>34469</c:v>
                </c:pt>
                <c:pt idx="176">
                  <c:v>34561</c:v>
                </c:pt>
                <c:pt idx="177">
                  <c:v>34653</c:v>
                </c:pt>
                <c:pt idx="178">
                  <c:v>34745</c:v>
                </c:pt>
                <c:pt idx="179">
                  <c:v>34834</c:v>
                </c:pt>
                <c:pt idx="180">
                  <c:v>34926</c:v>
                </c:pt>
                <c:pt idx="181">
                  <c:v>35018</c:v>
                </c:pt>
                <c:pt idx="182">
                  <c:v>35110</c:v>
                </c:pt>
                <c:pt idx="183">
                  <c:v>35200</c:v>
                </c:pt>
                <c:pt idx="184">
                  <c:v>35292</c:v>
                </c:pt>
                <c:pt idx="185">
                  <c:v>35384</c:v>
                </c:pt>
                <c:pt idx="186">
                  <c:v>35476</c:v>
                </c:pt>
                <c:pt idx="187">
                  <c:v>35565</c:v>
                </c:pt>
                <c:pt idx="188">
                  <c:v>35657</c:v>
                </c:pt>
                <c:pt idx="189">
                  <c:v>35749</c:v>
                </c:pt>
                <c:pt idx="190">
                  <c:v>35841</c:v>
                </c:pt>
                <c:pt idx="191">
                  <c:v>35930</c:v>
                </c:pt>
                <c:pt idx="192">
                  <c:v>36022</c:v>
                </c:pt>
                <c:pt idx="193">
                  <c:v>36114</c:v>
                </c:pt>
                <c:pt idx="194">
                  <c:v>36206</c:v>
                </c:pt>
                <c:pt idx="195">
                  <c:v>36295</c:v>
                </c:pt>
                <c:pt idx="196">
                  <c:v>36387</c:v>
                </c:pt>
                <c:pt idx="197">
                  <c:v>36479</c:v>
                </c:pt>
                <c:pt idx="198">
                  <c:v>36571</c:v>
                </c:pt>
                <c:pt idx="199">
                  <c:v>36661</c:v>
                </c:pt>
                <c:pt idx="200">
                  <c:v>36753</c:v>
                </c:pt>
                <c:pt idx="201">
                  <c:v>36845</c:v>
                </c:pt>
                <c:pt idx="202">
                  <c:v>36937</c:v>
                </c:pt>
                <c:pt idx="203">
                  <c:v>37026</c:v>
                </c:pt>
                <c:pt idx="204">
                  <c:v>37118</c:v>
                </c:pt>
                <c:pt idx="205">
                  <c:v>37210</c:v>
                </c:pt>
                <c:pt idx="206">
                  <c:v>37302</c:v>
                </c:pt>
                <c:pt idx="207">
                  <c:v>37391</c:v>
                </c:pt>
                <c:pt idx="208">
                  <c:v>37483</c:v>
                </c:pt>
                <c:pt idx="209">
                  <c:v>37575</c:v>
                </c:pt>
                <c:pt idx="210">
                  <c:v>37667</c:v>
                </c:pt>
                <c:pt idx="211">
                  <c:v>37756</c:v>
                </c:pt>
                <c:pt idx="212">
                  <c:v>37848</c:v>
                </c:pt>
                <c:pt idx="213">
                  <c:v>37940</c:v>
                </c:pt>
                <c:pt idx="214">
                  <c:v>38032</c:v>
                </c:pt>
                <c:pt idx="215">
                  <c:v>38122</c:v>
                </c:pt>
                <c:pt idx="216">
                  <c:v>38214</c:v>
                </c:pt>
                <c:pt idx="217">
                  <c:v>38306</c:v>
                </c:pt>
                <c:pt idx="218">
                  <c:v>38398</c:v>
                </c:pt>
                <c:pt idx="219">
                  <c:v>38487</c:v>
                </c:pt>
                <c:pt idx="220">
                  <c:v>38579</c:v>
                </c:pt>
                <c:pt idx="221">
                  <c:v>38671</c:v>
                </c:pt>
                <c:pt idx="222">
                  <c:v>38763</c:v>
                </c:pt>
                <c:pt idx="223">
                  <c:v>38852</c:v>
                </c:pt>
                <c:pt idx="224">
                  <c:v>38944</c:v>
                </c:pt>
                <c:pt idx="225">
                  <c:v>39036</c:v>
                </c:pt>
                <c:pt idx="226">
                  <c:v>39128</c:v>
                </c:pt>
                <c:pt idx="227">
                  <c:v>39217</c:v>
                </c:pt>
                <c:pt idx="228">
                  <c:v>39309</c:v>
                </c:pt>
                <c:pt idx="229">
                  <c:v>39401</c:v>
                </c:pt>
                <c:pt idx="230">
                  <c:v>39493</c:v>
                </c:pt>
                <c:pt idx="231">
                  <c:v>39583</c:v>
                </c:pt>
                <c:pt idx="232">
                  <c:v>39675</c:v>
                </c:pt>
                <c:pt idx="233">
                  <c:v>39767</c:v>
                </c:pt>
                <c:pt idx="234">
                  <c:v>39859</c:v>
                </c:pt>
                <c:pt idx="235">
                  <c:v>39948</c:v>
                </c:pt>
                <c:pt idx="236">
                  <c:v>40040</c:v>
                </c:pt>
                <c:pt idx="237">
                  <c:v>40132</c:v>
                </c:pt>
                <c:pt idx="238">
                  <c:v>40224</c:v>
                </c:pt>
                <c:pt idx="239">
                  <c:v>40313</c:v>
                </c:pt>
                <c:pt idx="240">
                  <c:v>40405</c:v>
                </c:pt>
                <c:pt idx="241">
                  <c:v>40497</c:v>
                </c:pt>
                <c:pt idx="242">
                  <c:v>40589</c:v>
                </c:pt>
                <c:pt idx="243">
                  <c:v>40678</c:v>
                </c:pt>
                <c:pt idx="244">
                  <c:v>40770</c:v>
                </c:pt>
                <c:pt idx="245">
                  <c:v>40862</c:v>
                </c:pt>
                <c:pt idx="246">
                  <c:v>40954</c:v>
                </c:pt>
                <c:pt idx="247">
                  <c:v>41044</c:v>
                </c:pt>
                <c:pt idx="248">
                  <c:v>41136</c:v>
                </c:pt>
                <c:pt idx="249">
                  <c:v>41228</c:v>
                </c:pt>
                <c:pt idx="250">
                  <c:v>41320</c:v>
                </c:pt>
                <c:pt idx="251">
                  <c:v>41409</c:v>
                </c:pt>
                <c:pt idx="252">
                  <c:v>41501</c:v>
                </c:pt>
                <c:pt idx="253">
                  <c:v>41593</c:v>
                </c:pt>
                <c:pt idx="254">
                  <c:v>41685</c:v>
                </c:pt>
                <c:pt idx="255">
                  <c:v>41774</c:v>
                </c:pt>
                <c:pt idx="256">
                  <c:v>41866</c:v>
                </c:pt>
                <c:pt idx="257">
                  <c:v>41958</c:v>
                </c:pt>
                <c:pt idx="258">
                  <c:v>42050</c:v>
                </c:pt>
                <c:pt idx="259">
                  <c:v>42139</c:v>
                </c:pt>
                <c:pt idx="260">
                  <c:v>42231</c:v>
                </c:pt>
                <c:pt idx="261">
                  <c:v>42323</c:v>
                </c:pt>
                <c:pt idx="262">
                  <c:v>42415</c:v>
                </c:pt>
                <c:pt idx="263">
                  <c:v>42505</c:v>
                </c:pt>
                <c:pt idx="264">
                  <c:v>42597</c:v>
                </c:pt>
                <c:pt idx="265">
                  <c:v>42689</c:v>
                </c:pt>
                <c:pt idx="266">
                  <c:v>42781</c:v>
                </c:pt>
                <c:pt idx="267">
                  <c:v>42870</c:v>
                </c:pt>
                <c:pt idx="268">
                  <c:v>42962</c:v>
                </c:pt>
                <c:pt idx="269">
                  <c:v>43054</c:v>
                </c:pt>
                <c:pt idx="270">
                  <c:v>43146</c:v>
                </c:pt>
                <c:pt idx="271">
                  <c:v>43235</c:v>
                </c:pt>
                <c:pt idx="272">
                  <c:v>43327</c:v>
                </c:pt>
                <c:pt idx="273">
                  <c:v>43419</c:v>
                </c:pt>
                <c:pt idx="274">
                  <c:v>43511</c:v>
                </c:pt>
                <c:pt idx="275">
                  <c:v>43600</c:v>
                </c:pt>
                <c:pt idx="276">
                  <c:v>43692</c:v>
                </c:pt>
                <c:pt idx="277">
                  <c:v>43784</c:v>
                </c:pt>
                <c:pt idx="278">
                  <c:v>43876</c:v>
                </c:pt>
                <c:pt idx="279">
                  <c:v>43966</c:v>
                </c:pt>
                <c:pt idx="280">
                  <c:v>44058</c:v>
                </c:pt>
                <c:pt idx="281">
                  <c:v>44150</c:v>
                </c:pt>
              </c:numCache>
            </c:numRef>
          </c:xVal>
          <c:yVal>
            <c:numRef>
              <c:f>'dat80'!$O$4:$O$285</c:f>
              <c:numCache>
                <c:formatCode>General</c:formatCode>
                <c:ptCount val="282"/>
                <c:pt idx="0">
                  <c:v>4.3343996214545658E-3</c:v>
                </c:pt>
                <c:pt idx="1">
                  <c:v>-5.7046239368169441E-3</c:v>
                </c:pt>
                <c:pt idx="2">
                  <c:v>1.533535354491633E-3</c:v>
                </c:pt>
                <c:pt idx="3">
                  <c:v>-9.4702951162986444E-3</c:v>
                </c:pt>
                <c:pt idx="4">
                  <c:v>8.6095083537300002E-3</c:v>
                </c:pt>
                <c:pt idx="5">
                  <c:v>-1.3118620357593258E-3</c:v>
                </c:pt>
                <c:pt idx="6">
                  <c:v>4.6219171070326585E-3</c:v>
                </c:pt>
                <c:pt idx="7">
                  <c:v>-6.2469905290292614E-3</c:v>
                </c:pt>
                <c:pt idx="8">
                  <c:v>1.1760610668191696E-2</c:v>
                </c:pt>
                <c:pt idx="9">
                  <c:v>-7.2712332618625193E-4</c:v>
                </c:pt>
                <c:pt idx="10">
                  <c:v>3.4495624206122956E-3</c:v>
                </c:pt>
                <c:pt idx="11">
                  <c:v>-9.3508788421868168E-3</c:v>
                </c:pt>
                <c:pt idx="12">
                  <c:v>6.0899532026819966E-3</c:v>
                </c:pt>
                <c:pt idx="13">
                  <c:v>-5.6331070180346996E-3</c:v>
                </c:pt>
                <c:pt idx="14">
                  <c:v>-1.2129641504861511E-3</c:v>
                </c:pt>
                <c:pt idx="15">
                  <c:v>-1.2703743599284145E-2</c:v>
                </c:pt>
                <c:pt idx="16">
                  <c:v>5.5214716575322951E-3</c:v>
                </c:pt>
                <c:pt idx="17">
                  <c:v>-3.541919517872927E-3</c:v>
                </c:pt>
                <c:pt idx="18">
                  <c:v>2.235551701862981E-3</c:v>
                </c:pt>
                <c:pt idx="19">
                  <c:v>-6.0590933492647991E-3</c:v>
                </c:pt>
                <c:pt idx="20">
                  <c:v>1.2601953859071636E-2</c:v>
                </c:pt>
                <c:pt idx="21">
                  <c:v>2.4423799708936044E-3</c:v>
                </c:pt>
                <c:pt idx="22">
                  <c:v>4.8674473286373756E-3</c:v>
                </c:pt>
                <c:pt idx="23">
                  <c:v>-5.7536322293541883E-3</c:v>
                </c:pt>
                <c:pt idx="24">
                  <c:v>9.4874417219090283E-3</c:v>
                </c:pt>
                <c:pt idx="25">
                  <c:v>-3.6017620137357652E-3</c:v>
                </c:pt>
                <c:pt idx="26">
                  <c:v>-4.6118725476951281E-5</c:v>
                </c:pt>
                <c:pt idx="27">
                  <c:v>-8.256353824356211E-3</c:v>
                </c:pt>
                <c:pt idx="28">
                  <c:v>7.6142066524710113E-3</c:v>
                </c:pt>
                <c:pt idx="29">
                  <c:v>-3.6011783293425025E-3</c:v>
                </c:pt>
                <c:pt idx="30">
                  <c:v>4.0595121478624206E-3</c:v>
                </c:pt>
                <c:pt idx="31">
                  <c:v>-7.1915740795326141E-3</c:v>
                </c:pt>
                <c:pt idx="32">
                  <c:v>8.4955828000280679E-3</c:v>
                </c:pt>
                <c:pt idx="33">
                  <c:v>-4.5419677705188736E-3</c:v>
                </c:pt>
                <c:pt idx="34">
                  <c:v>2.3696452364786679E-3</c:v>
                </c:pt>
                <c:pt idx="35">
                  <c:v>-8.6852471356698054E-3</c:v>
                </c:pt>
                <c:pt idx="36">
                  <c:v>8.6053272668934252E-3</c:v>
                </c:pt>
                <c:pt idx="37">
                  <c:v>-5.7212315626472329E-3</c:v>
                </c:pt>
                <c:pt idx="38">
                  <c:v>7.6908600429224092E-4</c:v>
                </c:pt>
                <c:pt idx="39">
                  <c:v>-1.0714453554941095E-2</c:v>
                </c:pt>
                <c:pt idx="40">
                  <c:v>3.8057784755359592E-3</c:v>
                </c:pt>
                <c:pt idx="41">
                  <c:v>-7.9103797927242425E-3</c:v>
                </c:pt>
                <c:pt idx="42">
                  <c:v>-1.6740628690483205E-3</c:v>
                </c:pt>
                <c:pt idx="43">
                  <c:v>-1.1089660677147607E-2</c:v>
                </c:pt>
                <c:pt idx="44">
                  <c:v>4.2612523204320855E-3</c:v>
                </c:pt>
                <c:pt idx="45">
                  <c:v>-6.0092184815925265E-3</c:v>
                </c:pt>
                <c:pt idx="46">
                  <c:v>7.5460072990747302E-4</c:v>
                </c:pt>
                <c:pt idx="47">
                  <c:v>-5.3914269723147612E-3</c:v>
                </c:pt>
                <c:pt idx="48">
                  <c:v>1.0742456426563508E-2</c:v>
                </c:pt>
                <c:pt idx="49">
                  <c:v>9.7901652428387118E-4</c:v>
                </c:pt>
                <c:pt idx="50">
                  <c:v>5.8681807596361324E-3</c:v>
                </c:pt>
                <c:pt idx="51">
                  <c:v>-4.2958392206553951E-3</c:v>
                </c:pt>
                <c:pt idx="52">
                  <c:v>1.1310262312113295E-2</c:v>
                </c:pt>
                <c:pt idx="53">
                  <c:v>-6.2828467636517611E-4</c:v>
                </c:pt>
                <c:pt idx="54">
                  <c:v>1.3489812928094481E-3</c:v>
                </c:pt>
                <c:pt idx="55">
                  <c:v>-9.9169698496764276E-3</c:v>
                </c:pt>
                <c:pt idx="56">
                  <c:v>4.8425695725681454E-3</c:v>
                </c:pt>
                <c:pt idx="57">
                  <c:v>-8.2678795820529064E-3</c:v>
                </c:pt>
                <c:pt idx="58">
                  <c:v>-1.9007969748756181E-3</c:v>
                </c:pt>
                <c:pt idx="59">
                  <c:v>-8.1856308856517405E-3</c:v>
                </c:pt>
                <c:pt idx="60">
                  <c:v>9.7302076040737262E-3</c:v>
                </c:pt>
                <c:pt idx="61">
                  <c:v>-7.5391241159721294E-4</c:v>
                </c:pt>
                <c:pt idx="62">
                  <c:v>4.8877175238224877E-3</c:v>
                </c:pt>
                <c:pt idx="63">
                  <c:v>-3.760277033122783E-3</c:v>
                </c:pt>
                <c:pt idx="64">
                  <c:v>1.2146518883573699E-2</c:v>
                </c:pt>
                <c:pt idx="65">
                  <c:v>-3.8953516271647006E-4</c:v>
                </c:pt>
                <c:pt idx="66">
                  <c:v>4.7598858392470687E-3</c:v>
                </c:pt>
                <c:pt idx="67">
                  <c:v>-4.5124924409259744E-3</c:v>
                </c:pt>
                <c:pt idx="68">
                  <c:v>1.0438121170181346E-2</c:v>
                </c:pt>
                <c:pt idx="69">
                  <c:v>-4.1884620698271037E-3</c:v>
                </c:pt>
                <c:pt idx="70">
                  <c:v>9.2326309034760354E-4</c:v>
                </c:pt>
                <c:pt idx="71">
                  <c:v>-7.41442819978122E-3</c:v>
                </c:pt>
                <c:pt idx="72">
                  <c:v>7.2766148649586523E-3</c:v>
                </c:pt>
                <c:pt idx="73">
                  <c:v>-2.1026859611353644E-3</c:v>
                </c:pt>
                <c:pt idx="74">
                  <c:v>7.6483316375194118E-3</c:v>
                </c:pt>
                <c:pt idx="75">
                  <c:v>2.2309670316253972E-4</c:v>
                </c:pt>
                <c:pt idx="76">
                  <c:v>1.5349062025218352E-2</c:v>
                </c:pt>
                <c:pt idx="77">
                  <c:v>4.9143824161674843E-3</c:v>
                </c:pt>
                <c:pt idx="78">
                  <c:v>7.3364548876797995E-3</c:v>
                </c:pt>
                <c:pt idx="79">
                  <c:v>-5.1652216267639162E-3</c:v>
                </c:pt>
                <c:pt idx="80">
                  <c:v>7.7784693204799634E-3</c:v>
                </c:pt>
                <c:pt idx="81">
                  <c:v>-4.0285766386299214E-3</c:v>
                </c:pt>
                <c:pt idx="82">
                  <c:v>4.9907552763830412E-4</c:v>
                </c:pt>
                <c:pt idx="83">
                  <c:v>-7.4902854319109482E-3</c:v>
                </c:pt>
                <c:pt idx="84">
                  <c:v>8.3343083754394698E-3</c:v>
                </c:pt>
                <c:pt idx="85">
                  <c:v>-2.4176172903118244E-3</c:v>
                </c:pt>
                <c:pt idx="86">
                  <c:v>3.9228693722453299E-3</c:v>
                </c:pt>
                <c:pt idx="87">
                  <c:v>-4.6656388314220369E-3</c:v>
                </c:pt>
                <c:pt idx="88">
                  <c:v>8.7108947560093249E-3</c:v>
                </c:pt>
                <c:pt idx="89">
                  <c:v>-8.9234855749520392E-4</c:v>
                </c:pt>
                <c:pt idx="90">
                  <c:v>5.0055833600156415E-3</c:v>
                </c:pt>
                <c:pt idx="91">
                  <c:v>-7.3274611657433656E-3</c:v>
                </c:pt>
                <c:pt idx="92">
                  <c:v>6.7828870310490787E-3</c:v>
                </c:pt>
                <c:pt idx="93">
                  <c:v>-3.8408743074745287E-3</c:v>
                </c:pt>
                <c:pt idx="94">
                  <c:v>7.1961277913175077E-4</c:v>
                </c:pt>
                <c:pt idx="95">
                  <c:v>-1.0302407754439713E-2</c:v>
                </c:pt>
                <c:pt idx="96">
                  <c:v>6.0390079741733157E-3</c:v>
                </c:pt>
                <c:pt idx="97">
                  <c:v>-3.8910694876369335E-3</c:v>
                </c:pt>
                <c:pt idx="98">
                  <c:v>1.694195109838148E-3</c:v>
                </c:pt>
                <c:pt idx="99">
                  <c:v>-9.8690906950364976E-3</c:v>
                </c:pt>
                <c:pt idx="100">
                  <c:v>3.7632515575397817E-3</c:v>
                </c:pt>
                <c:pt idx="101">
                  <c:v>-7.7509926025589593E-3</c:v>
                </c:pt>
                <c:pt idx="102">
                  <c:v>-1.8496735671041265E-3</c:v>
                </c:pt>
                <c:pt idx="103">
                  <c:v>-9.6050644723373324E-3</c:v>
                </c:pt>
                <c:pt idx="104">
                  <c:v>6.8478302416023597E-3</c:v>
                </c:pt>
                <c:pt idx="105">
                  <c:v>-2.4393871094080311E-3</c:v>
                </c:pt>
                <c:pt idx="106">
                  <c:v>4.4554759464332959E-3</c:v>
                </c:pt>
                <c:pt idx="107">
                  <c:v>-6.9486799856875335E-3</c:v>
                </c:pt>
                <c:pt idx="108">
                  <c:v>2.7484623533396758E-3</c:v>
                </c:pt>
                <c:pt idx="109">
                  <c:v>-9.8264782138727472E-3</c:v>
                </c:pt>
                <c:pt idx="110">
                  <c:v>-3.9718913112764655E-3</c:v>
                </c:pt>
                <c:pt idx="111">
                  <c:v>-1.367105525488892E-2</c:v>
                </c:pt>
                <c:pt idx="112">
                  <c:v>2.6806652583411862E-3</c:v>
                </c:pt>
                <c:pt idx="113">
                  <c:v>-3.7006640416610281E-3</c:v>
                </c:pt>
                <c:pt idx="114">
                  <c:v>4.6607205804276575E-3</c:v>
                </c:pt>
                <c:pt idx="115">
                  <c:v>-4.4135148305027624E-3</c:v>
                </c:pt>
                <c:pt idx="116">
                  <c:v>8.8576256226083668E-3</c:v>
                </c:pt>
                <c:pt idx="117">
                  <c:v>-2.5345657962551728E-3</c:v>
                </c:pt>
                <c:pt idx="118">
                  <c:v>2.9451023383764152E-3</c:v>
                </c:pt>
                <c:pt idx="119">
                  <c:v>-6.4033724112949383E-3</c:v>
                </c:pt>
                <c:pt idx="120">
                  <c:v>8.136989861868749E-3</c:v>
                </c:pt>
                <c:pt idx="121">
                  <c:v>-1.8746531851466131E-3</c:v>
                </c:pt>
                <c:pt idx="122">
                  <c:v>2.421833157502462E-3</c:v>
                </c:pt>
                <c:pt idx="123">
                  <c:v>-6.6885833218824683E-3</c:v>
                </c:pt>
                <c:pt idx="124">
                  <c:v>5.7251295484030962E-3</c:v>
                </c:pt>
                <c:pt idx="125">
                  <c:v>-2.6292886076957345E-3</c:v>
                </c:pt>
                <c:pt idx="126">
                  <c:v>4.3243988488519845E-3</c:v>
                </c:pt>
                <c:pt idx="127">
                  <c:v>-3.6028358385504335E-3</c:v>
                </c:pt>
                <c:pt idx="128">
                  <c:v>8.9151239633437733E-3</c:v>
                </c:pt>
                <c:pt idx="129">
                  <c:v>-9.6276224448921255E-4</c:v>
                </c:pt>
                <c:pt idx="130">
                  <c:v>3.5716032460500814E-3</c:v>
                </c:pt>
                <c:pt idx="131">
                  <c:v>-4.6365669779007135E-3</c:v>
                </c:pt>
                <c:pt idx="132">
                  <c:v>9.879739519930375E-3</c:v>
                </c:pt>
                <c:pt idx="133">
                  <c:v>5.5669059385188294E-5</c:v>
                </c:pt>
                <c:pt idx="134">
                  <c:v>3.2695734281826816E-3</c:v>
                </c:pt>
                <c:pt idx="135">
                  <c:v>-6.2687679697496891E-3</c:v>
                </c:pt>
                <c:pt idx="136">
                  <c:v>6.3433634911584493E-3</c:v>
                </c:pt>
                <c:pt idx="137">
                  <c:v>-4.5301625172511351E-3</c:v>
                </c:pt>
                <c:pt idx="138">
                  <c:v>-5.9250340900067759E-4</c:v>
                </c:pt>
                <c:pt idx="139">
                  <c:v>-6.2652777697730141E-3</c:v>
                </c:pt>
                <c:pt idx="140">
                  <c:v>6.3468536911347687E-3</c:v>
                </c:pt>
                <c:pt idx="141">
                  <c:v>-5.034338019218332E-3</c:v>
                </c:pt>
                <c:pt idx="142">
                  <c:v>1.0983535383079612E-3</c:v>
                </c:pt>
                <c:pt idx="143">
                  <c:v>-7.0545648032160459E-3</c:v>
                </c:pt>
                <c:pt idx="144">
                  <c:v>5.7707418290661398E-3</c:v>
                </c:pt>
                <c:pt idx="145">
                  <c:v>-4.6521346793067407E-3</c:v>
                </c:pt>
                <c:pt idx="146">
                  <c:v>7.0307047694981859E-4</c:v>
                </c:pt>
                <c:pt idx="147">
                  <c:v>-7.9054095265529874E-3</c:v>
                </c:pt>
                <c:pt idx="148">
                  <c:v>4.766035929140244E-3</c:v>
                </c:pt>
                <c:pt idx="149">
                  <c:v>-5.1760333108102682E-3</c:v>
                </c:pt>
                <c:pt idx="150">
                  <c:v>2.1647920419594511E-3</c:v>
                </c:pt>
                <c:pt idx="151">
                  <c:v>-6.4372841818897799E-3</c:v>
                </c:pt>
                <c:pt idx="152">
                  <c:v>5.8272279260801699E-3</c:v>
                </c:pt>
                <c:pt idx="153">
                  <c:v>-1.6949300993184479E-3</c:v>
                </c:pt>
                <c:pt idx="154">
                  <c:v>2.4325656408159093E-3</c:v>
                </c:pt>
                <c:pt idx="155">
                  <c:v>-7.3950583221497725E-3</c:v>
                </c:pt>
                <c:pt idx="156">
                  <c:v>6.2811793132745205E-3</c:v>
                </c:pt>
                <c:pt idx="157">
                  <c:v>-3.3783374897586428E-3</c:v>
                </c:pt>
                <c:pt idx="158">
                  <c:v>8.7571961572283639E-4</c:v>
                </c:pt>
                <c:pt idx="159">
                  <c:v>-5.3801699869524102E-3</c:v>
                </c:pt>
                <c:pt idx="160">
                  <c:v>7.286272404363814E-3</c:v>
                </c:pt>
                <c:pt idx="161">
                  <c:v>-3.4194542821799345E-3</c:v>
                </c:pt>
                <c:pt idx="162">
                  <c:v>9.9278090316445855E-4</c:v>
                </c:pt>
                <c:pt idx="163">
                  <c:v>-7.8279176914621829E-3</c:v>
                </c:pt>
                <c:pt idx="164">
                  <c:v>3.0421186205883189E-3</c:v>
                </c:pt>
                <c:pt idx="165">
                  <c:v>-5.0602572734204541E-3</c:v>
                </c:pt>
                <c:pt idx="166">
                  <c:v>5.8995992279964327E-4</c:v>
                </c:pt>
                <c:pt idx="167">
                  <c:v>-6.8956614258622647E-3</c:v>
                </c:pt>
                <c:pt idx="168">
                  <c:v>7.3263680477817063E-3</c:v>
                </c:pt>
                <c:pt idx="169">
                  <c:v>-1.4571070567388489E-3</c:v>
                </c:pt>
                <c:pt idx="170">
                  <c:v>3.7206112523930912E-3</c:v>
                </c:pt>
                <c:pt idx="171">
                  <c:v>-3.5298799957766747E-3</c:v>
                </c:pt>
                <c:pt idx="172">
                  <c:v>8.6264053845230386E-3</c:v>
                </c:pt>
                <c:pt idx="173">
                  <c:v>-2.9470016217398864E-3</c:v>
                </c:pt>
                <c:pt idx="174">
                  <c:v>-9.0105811481855364E-5</c:v>
                </c:pt>
                <c:pt idx="175">
                  <c:v>-1.0916012772047345E-2</c:v>
                </c:pt>
                <c:pt idx="176">
                  <c:v>7.6086166894420162E-4</c:v>
                </c:pt>
                <c:pt idx="177">
                  <c:v>-9.3559248798237953E-3</c:v>
                </c:pt>
                <c:pt idx="178">
                  <c:v>-3.5020580505308986E-3</c:v>
                </c:pt>
                <c:pt idx="179">
                  <c:v>-9.8079666182986358E-3</c:v>
                </c:pt>
                <c:pt idx="180">
                  <c:v>5.6713788100902105E-3</c:v>
                </c:pt>
                <c:pt idx="181">
                  <c:v>-2.2446862209696051E-3</c:v>
                </c:pt>
                <c:pt idx="182">
                  <c:v>5.4487726403129599E-3</c:v>
                </c:pt>
                <c:pt idx="183">
                  <c:v>-1.6860640359166012E-3</c:v>
                </c:pt>
                <c:pt idx="184">
                  <c:v>1.1709034431688714E-2</c:v>
                </c:pt>
                <c:pt idx="185">
                  <c:v>3.7217387523540423E-4</c:v>
                </c:pt>
                <c:pt idx="186">
                  <c:v>4.313847865314635E-3</c:v>
                </c:pt>
                <c:pt idx="187">
                  <c:v>-3.9677950708675528E-3</c:v>
                </c:pt>
                <c:pt idx="188">
                  <c:v>7.7636743727065747E-3</c:v>
                </c:pt>
                <c:pt idx="189">
                  <c:v>-1.4250165865199449E-3</c:v>
                </c:pt>
                <c:pt idx="190">
                  <c:v>4.2419955490460735E-3</c:v>
                </c:pt>
                <c:pt idx="191">
                  <c:v>-2.2712892708442569E-3</c:v>
                </c:pt>
                <c:pt idx="192">
                  <c:v>9.6408502742779227E-3</c:v>
                </c:pt>
                <c:pt idx="193">
                  <c:v>9.930439752180221E-4</c:v>
                </c:pt>
                <c:pt idx="194">
                  <c:v>3.8390806325645952E-3</c:v>
                </c:pt>
                <c:pt idx="195">
                  <c:v>-4.3976694018162728E-3</c:v>
                </c:pt>
                <c:pt idx="196">
                  <c:v>6.7386698954397415E-3</c:v>
                </c:pt>
                <c:pt idx="197">
                  <c:v>-3.0270110664126549E-3</c:v>
                </c:pt>
                <c:pt idx="198">
                  <c:v>1.3172119387675706E-3</c:v>
                </c:pt>
                <c:pt idx="199">
                  <c:v>-6.2103635715644147E-3</c:v>
                </c:pt>
                <c:pt idx="200">
                  <c:v>6.4301912947739128E-3</c:v>
                </c:pt>
                <c:pt idx="201">
                  <c:v>-5.3661121496430654E-3</c:v>
                </c:pt>
                <c:pt idx="202">
                  <c:v>-3.0822821942928513E-3</c:v>
                </c:pt>
                <c:pt idx="203">
                  <c:v>-1.1753511862728772E-2</c:v>
                </c:pt>
                <c:pt idx="204">
                  <c:v>1.8038109487509501E-3</c:v>
                </c:pt>
                <c:pt idx="205">
                  <c:v>-5.6691784060339144E-3</c:v>
                </c:pt>
                <c:pt idx="206">
                  <c:v>2.3312920783961745E-3</c:v>
                </c:pt>
                <c:pt idx="207">
                  <c:v>-4.1016450431930803E-3</c:v>
                </c:pt>
                <c:pt idx="208">
                  <c:v>1.0480119138317433E-2</c:v>
                </c:pt>
                <c:pt idx="209">
                  <c:v>1.5477342145816309E-3</c:v>
                </c:pt>
                <c:pt idx="210">
                  <c:v>2.7474925232946036E-3</c:v>
                </c:pt>
                <c:pt idx="211">
                  <c:v>-6.8129571597404844E-3</c:v>
                </c:pt>
                <c:pt idx="212">
                  <c:v>6.0449134812429863E-3</c:v>
                </c:pt>
                <c:pt idx="213">
                  <c:v>-2.9666580548983745E-3</c:v>
                </c:pt>
                <c:pt idx="214">
                  <c:v>1.3569814652457878E-3</c:v>
                </c:pt>
                <c:pt idx="215">
                  <c:v>-4.1497726625943088E-3</c:v>
                </c:pt>
                <c:pt idx="216">
                  <c:v>7.4783198345487632E-3</c:v>
                </c:pt>
                <c:pt idx="217">
                  <c:v>-2.1023329870057951E-4</c:v>
                </c:pt>
                <c:pt idx="218">
                  <c:v>3.395669005992552E-3</c:v>
                </c:pt>
                <c:pt idx="219">
                  <c:v>-4.7272818693043558E-3</c:v>
                </c:pt>
                <c:pt idx="220">
                  <c:v>5.9306224368961937E-3</c:v>
                </c:pt>
                <c:pt idx="221">
                  <c:v>-1.5831428943419823E-3</c:v>
                </c:pt>
                <c:pt idx="222">
                  <c:v>1.5076978832373911E-3</c:v>
                </c:pt>
                <c:pt idx="223">
                  <c:v>-7.4012033111458212E-3</c:v>
                </c:pt>
                <c:pt idx="224">
                  <c:v>3.5224215463040666E-3</c:v>
                </c:pt>
                <c:pt idx="225">
                  <c:v>-4.1044995219813533E-3</c:v>
                </c:pt>
                <c:pt idx="226">
                  <c:v>7.3928792703217285E-4</c:v>
                </c:pt>
                <c:pt idx="227">
                  <c:v>-6.8118336993169496E-3</c:v>
                </c:pt>
                <c:pt idx="228">
                  <c:v>5.0033697757514871E-3</c:v>
                </c:pt>
                <c:pt idx="229">
                  <c:v>-1.9404905192930144E-3</c:v>
                </c:pt>
                <c:pt idx="230">
                  <c:v>2.8496491064212036E-3</c:v>
                </c:pt>
                <c:pt idx="231">
                  <c:v>-6.4523599405378104E-3</c:v>
                </c:pt>
                <c:pt idx="232">
                  <c:v>4.6087956152769394E-3</c:v>
                </c:pt>
                <c:pt idx="233">
                  <c:v>-1.6476809395975067E-3</c:v>
                </c:pt>
                <c:pt idx="234">
                  <c:v>3.0844357808144096E-3</c:v>
                </c:pt>
                <c:pt idx="235">
                  <c:v>-4.6823224160286612E-3</c:v>
                </c:pt>
                <c:pt idx="236">
                  <c:v>8.3594312882881994E-3</c:v>
                </c:pt>
                <c:pt idx="237">
                  <c:v>1.8119751719980926E-3</c:v>
                </c:pt>
                <c:pt idx="238">
                  <c:v>3.1788479278416657E-3</c:v>
                </c:pt>
                <c:pt idx="239">
                  <c:v>-6.160422656785158E-3</c:v>
                </c:pt>
                <c:pt idx="240">
                  <c:v>4.5233270723926463E-3</c:v>
                </c:pt>
                <c:pt idx="241">
                  <c:v>-5.3025406482291263E-3</c:v>
                </c:pt>
                <c:pt idx="242">
                  <c:v>-2.5417783036965958E-3</c:v>
                </c:pt>
                <c:pt idx="243">
                  <c:v>-8.5040314993797498E-3</c:v>
                </c:pt>
                <c:pt idx="244">
                  <c:v>3.0872677817523455E-3</c:v>
                </c:pt>
                <c:pt idx="245">
                  <c:v>-6.3882845747674109E-3</c:v>
                </c:pt>
                <c:pt idx="246">
                  <c:v>-1.2738316645094726E-3</c:v>
                </c:pt>
                <c:pt idx="247">
                  <c:v>-6.2339247127773945E-3</c:v>
                </c:pt>
                <c:pt idx="248">
                  <c:v>3.9902870864152009E-3</c:v>
                </c:pt>
                <c:pt idx="249">
                  <c:v>-2.7674235229330434E-3</c:v>
                </c:pt>
                <c:pt idx="250">
                  <c:v>4.1481287442536544E-3</c:v>
                </c:pt>
                <c:pt idx="251">
                  <c:v>-2.6831823075275096E-3</c:v>
                </c:pt>
                <c:pt idx="252">
                  <c:v>5.997679143023937E-3</c:v>
                </c:pt>
                <c:pt idx="253">
                  <c:v>-1.5125776624966391E-3</c:v>
                </c:pt>
                <c:pt idx="254">
                  <c:v>1.4617710883976897E-3</c:v>
                </c:pt>
                <c:pt idx="255">
                  <c:v>-6.8658062938416363E-3</c:v>
                </c:pt>
                <c:pt idx="256">
                  <c:v>5.1173938311718462E-3</c:v>
                </c:pt>
                <c:pt idx="257">
                  <c:v>-2.0316297576369992E-3</c:v>
                </c:pt>
                <c:pt idx="258">
                  <c:v>2.7562829900304566E-3</c:v>
                </c:pt>
                <c:pt idx="259">
                  <c:v>-2.9127749555216908E-3</c:v>
                </c:pt>
                <c:pt idx="260">
                  <c:v>8.0908829633814967E-3</c:v>
                </c:pt>
                <c:pt idx="261">
                  <c:v>2.6001774354931226E-4</c:v>
                </c:pt>
                <c:pt idx="262">
                  <c:v>3.9286124234672922E-3</c:v>
                </c:pt>
                <c:pt idx="263">
                  <c:v>-4.802548732531697E-3</c:v>
                </c:pt>
                <c:pt idx="264">
                  <c:v>4.5801604594563729E-3</c:v>
                </c:pt>
                <c:pt idx="265">
                  <c:v>-2.9327504247046222E-3</c:v>
                </c:pt>
                <c:pt idx="266">
                  <c:v>2.2763146852664562E-4</c:v>
                </c:pt>
                <c:pt idx="267">
                  <c:v>-5.6865578855525454E-3</c:v>
                </c:pt>
                <c:pt idx="268">
                  <c:v>6.2445113907365624E-3</c:v>
                </c:pt>
                <c:pt idx="269">
                  <c:v>1.1509863129095521E-4</c:v>
                </c:pt>
                <c:pt idx="270">
                  <c:v>4.4402292366092057E-3</c:v>
                </c:pt>
                <c:pt idx="271">
                  <c:v>-2.0457903396080114E-3</c:v>
                </c:pt>
                <c:pt idx="272">
                  <c:v>8.1915707149832432E-3</c:v>
                </c:pt>
                <c:pt idx="273">
                  <c:v>1.649240915806871E-3</c:v>
                </c:pt>
                <c:pt idx="274">
                  <c:v>5.1754305264175571E-3</c:v>
                </c:pt>
                <c:pt idx="275">
                  <c:v>-1.869976441562038E-3</c:v>
                </c:pt>
                <c:pt idx="276">
                  <c:v>9.2985586059242571E-3</c:v>
                </c:pt>
                <c:pt idx="277">
                  <c:v>1.9191359913323324E-3</c:v>
                </c:pt>
                <c:pt idx="278">
                  <c:v>5.2681948349153629E-3</c:v>
                </c:pt>
                <c:pt idx="279">
                  <c:v>-2.6420396795440839E-3</c:v>
                </c:pt>
                <c:pt idx="280">
                  <c:v>2.4106041399027944E-3</c:v>
                </c:pt>
                <c:pt idx="281">
                  <c:v>-7.9242684639015213E-3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0-4740-B518-2C52AAAD787F}"/>
            </c:ext>
          </c:extLst>
        </c:ser>
        <c:ser>
          <c:idx val="1"/>
          <c:order val="1"/>
          <c:tx>
            <c:strRef>
              <c:f>'dat69'!$K$1</c:f>
              <c:strCache>
                <c:ptCount val="1"/>
                <c:pt idx="0">
                  <c:v>Cycle 69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'dat69'!$B$4:$B$285</c:f>
              <c:numCache>
                <c:formatCode>m/d/yyyy</c:formatCode>
                <c:ptCount val="282"/>
                <c:pt idx="0">
                  <c:v>18490</c:v>
                </c:pt>
                <c:pt idx="1">
                  <c:v>18582</c:v>
                </c:pt>
                <c:pt idx="2">
                  <c:v>18674</c:v>
                </c:pt>
                <c:pt idx="3">
                  <c:v>18763</c:v>
                </c:pt>
                <c:pt idx="4">
                  <c:v>18855</c:v>
                </c:pt>
                <c:pt idx="5">
                  <c:v>18947</c:v>
                </c:pt>
                <c:pt idx="6">
                  <c:v>19039</c:v>
                </c:pt>
                <c:pt idx="7">
                  <c:v>19129</c:v>
                </c:pt>
                <c:pt idx="8">
                  <c:v>19221</c:v>
                </c:pt>
                <c:pt idx="9">
                  <c:v>19313</c:v>
                </c:pt>
                <c:pt idx="10">
                  <c:v>19405</c:v>
                </c:pt>
                <c:pt idx="11">
                  <c:v>19494</c:v>
                </c:pt>
                <c:pt idx="12">
                  <c:v>19586</c:v>
                </c:pt>
                <c:pt idx="13">
                  <c:v>19678</c:v>
                </c:pt>
                <c:pt idx="14">
                  <c:v>19770</c:v>
                </c:pt>
                <c:pt idx="15">
                  <c:v>19859</c:v>
                </c:pt>
                <c:pt idx="16">
                  <c:v>19951</c:v>
                </c:pt>
                <c:pt idx="17">
                  <c:v>20043</c:v>
                </c:pt>
                <c:pt idx="18">
                  <c:v>20135</c:v>
                </c:pt>
                <c:pt idx="19">
                  <c:v>20224</c:v>
                </c:pt>
                <c:pt idx="20">
                  <c:v>20316</c:v>
                </c:pt>
                <c:pt idx="21">
                  <c:v>20408</c:v>
                </c:pt>
                <c:pt idx="22">
                  <c:v>20500</c:v>
                </c:pt>
                <c:pt idx="23">
                  <c:v>20590</c:v>
                </c:pt>
                <c:pt idx="24">
                  <c:v>20682</c:v>
                </c:pt>
                <c:pt idx="25">
                  <c:v>20774</c:v>
                </c:pt>
                <c:pt idx="26">
                  <c:v>20866</c:v>
                </c:pt>
                <c:pt idx="27">
                  <c:v>20955</c:v>
                </c:pt>
                <c:pt idx="28">
                  <c:v>21047</c:v>
                </c:pt>
                <c:pt idx="29">
                  <c:v>21139</c:v>
                </c:pt>
                <c:pt idx="30">
                  <c:v>21231</c:v>
                </c:pt>
                <c:pt idx="31">
                  <c:v>21320</c:v>
                </c:pt>
                <c:pt idx="32">
                  <c:v>21412</c:v>
                </c:pt>
                <c:pt idx="33">
                  <c:v>21504</c:v>
                </c:pt>
                <c:pt idx="34">
                  <c:v>21596</c:v>
                </c:pt>
                <c:pt idx="35">
                  <c:v>21685</c:v>
                </c:pt>
                <c:pt idx="36">
                  <c:v>21777</c:v>
                </c:pt>
                <c:pt idx="37">
                  <c:v>21869</c:v>
                </c:pt>
                <c:pt idx="38">
                  <c:v>21961</c:v>
                </c:pt>
                <c:pt idx="39">
                  <c:v>22051</c:v>
                </c:pt>
                <c:pt idx="40">
                  <c:v>22143</c:v>
                </c:pt>
                <c:pt idx="41">
                  <c:v>22235</c:v>
                </c:pt>
                <c:pt idx="42">
                  <c:v>22327</c:v>
                </c:pt>
                <c:pt idx="43">
                  <c:v>22416</c:v>
                </c:pt>
                <c:pt idx="44">
                  <c:v>22508</c:v>
                </c:pt>
                <c:pt idx="45">
                  <c:v>22600</c:v>
                </c:pt>
                <c:pt idx="46">
                  <c:v>22692</c:v>
                </c:pt>
                <c:pt idx="47">
                  <c:v>22781</c:v>
                </c:pt>
                <c:pt idx="48">
                  <c:v>22873</c:v>
                </c:pt>
                <c:pt idx="49">
                  <c:v>22965</c:v>
                </c:pt>
                <c:pt idx="50">
                  <c:v>23057</c:v>
                </c:pt>
                <c:pt idx="51">
                  <c:v>23146</c:v>
                </c:pt>
                <c:pt idx="52">
                  <c:v>23238</c:v>
                </c:pt>
                <c:pt idx="53">
                  <c:v>23330</c:v>
                </c:pt>
                <c:pt idx="54">
                  <c:v>23422</c:v>
                </c:pt>
                <c:pt idx="55">
                  <c:v>23512</c:v>
                </c:pt>
                <c:pt idx="56">
                  <c:v>23604</c:v>
                </c:pt>
                <c:pt idx="57">
                  <c:v>23696</c:v>
                </c:pt>
                <c:pt idx="58">
                  <c:v>23788</c:v>
                </c:pt>
                <c:pt idx="59">
                  <c:v>23877</c:v>
                </c:pt>
                <c:pt idx="60">
                  <c:v>23969</c:v>
                </c:pt>
                <c:pt idx="61">
                  <c:v>24061</c:v>
                </c:pt>
                <c:pt idx="62">
                  <c:v>24153</c:v>
                </c:pt>
                <c:pt idx="63">
                  <c:v>24242</c:v>
                </c:pt>
                <c:pt idx="64">
                  <c:v>24334</c:v>
                </c:pt>
                <c:pt idx="65">
                  <c:v>24426</c:v>
                </c:pt>
                <c:pt idx="66">
                  <c:v>24518</c:v>
                </c:pt>
                <c:pt idx="67">
                  <c:v>24607</c:v>
                </c:pt>
                <c:pt idx="68">
                  <c:v>24699</c:v>
                </c:pt>
                <c:pt idx="69">
                  <c:v>24791</c:v>
                </c:pt>
                <c:pt idx="70">
                  <c:v>24883</c:v>
                </c:pt>
                <c:pt idx="71">
                  <c:v>24973</c:v>
                </c:pt>
                <c:pt idx="72">
                  <c:v>25065</c:v>
                </c:pt>
                <c:pt idx="73">
                  <c:v>25157</c:v>
                </c:pt>
                <c:pt idx="74">
                  <c:v>25249</c:v>
                </c:pt>
                <c:pt idx="75">
                  <c:v>25338</c:v>
                </c:pt>
                <c:pt idx="76">
                  <c:v>25430</c:v>
                </c:pt>
                <c:pt idx="77">
                  <c:v>25522</c:v>
                </c:pt>
                <c:pt idx="78">
                  <c:v>25614</c:v>
                </c:pt>
                <c:pt idx="79">
                  <c:v>25703</c:v>
                </c:pt>
                <c:pt idx="80">
                  <c:v>25795</c:v>
                </c:pt>
                <c:pt idx="81">
                  <c:v>25887</c:v>
                </c:pt>
                <c:pt idx="82">
                  <c:v>25979</c:v>
                </c:pt>
                <c:pt idx="83">
                  <c:v>26068</c:v>
                </c:pt>
                <c:pt idx="84">
                  <c:v>26160</c:v>
                </c:pt>
                <c:pt idx="85">
                  <c:v>26252</c:v>
                </c:pt>
                <c:pt idx="86">
                  <c:v>26344</c:v>
                </c:pt>
                <c:pt idx="87">
                  <c:v>26434</c:v>
                </c:pt>
                <c:pt idx="88">
                  <c:v>26526</c:v>
                </c:pt>
                <c:pt idx="89">
                  <c:v>26618</c:v>
                </c:pt>
                <c:pt idx="90">
                  <c:v>26710</c:v>
                </c:pt>
                <c:pt idx="91">
                  <c:v>26799</c:v>
                </c:pt>
                <c:pt idx="92">
                  <c:v>26891</c:v>
                </c:pt>
                <c:pt idx="93">
                  <c:v>26983</c:v>
                </c:pt>
                <c:pt idx="94">
                  <c:v>27075</c:v>
                </c:pt>
                <c:pt idx="95">
                  <c:v>27164</c:v>
                </c:pt>
                <c:pt idx="96">
                  <c:v>27256</c:v>
                </c:pt>
                <c:pt idx="97">
                  <c:v>27348</c:v>
                </c:pt>
                <c:pt idx="98">
                  <c:v>27440</c:v>
                </c:pt>
                <c:pt idx="99">
                  <c:v>27529</c:v>
                </c:pt>
                <c:pt idx="100">
                  <c:v>27621</c:v>
                </c:pt>
                <c:pt idx="101">
                  <c:v>27713</c:v>
                </c:pt>
                <c:pt idx="102">
                  <c:v>27805</c:v>
                </c:pt>
                <c:pt idx="103">
                  <c:v>27895</c:v>
                </c:pt>
                <c:pt idx="104">
                  <c:v>27987</c:v>
                </c:pt>
                <c:pt idx="105">
                  <c:v>28079</c:v>
                </c:pt>
                <c:pt idx="106">
                  <c:v>28171</c:v>
                </c:pt>
                <c:pt idx="107">
                  <c:v>28260</c:v>
                </c:pt>
                <c:pt idx="108">
                  <c:v>28352</c:v>
                </c:pt>
                <c:pt idx="109">
                  <c:v>28444</c:v>
                </c:pt>
                <c:pt idx="110">
                  <c:v>28536</c:v>
                </c:pt>
                <c:pt idx="111">
                  <c:v>28625</c:v>
                </c:pt>
                <c:pt idx="112">
                  <c:v>28717</c:v>
                </c:pt>
                <c:pt idx="113">
                  <c:v>28809</c:v>
                </c:pt>
                <c:pt idx="114">
                  <c:v>28901</c:v>
                </c:pt>
                <c:pt idx="115">
                  <c:v>28990</c:v>
                </c:pt>
                <c:pt idx="116">
                  <c:v>29082</c:v>
                </c:pt>
                <c:pt idx="117">
                  <c:v>29174</c:v>
                </c:pt>
                <c:pt idx="118">
                  <c:v>29266</c:v>
                </c:pt>
                <c:pt idx="119">
                  <c:v>29356</c:v>
                </c:pt>
                <c:pt idx="120">
                  <c:v>29448</c:v>
                </c:pt>
                <c:pt idx="121">
                  <c:v>29540</c:v>
                </c:pt>
                <c:pt idx="122">
                  <c:v>29632</c:v>
                </c:pt>
                <c:pt idx="123">
                  <c:v>29721</c:v>
                </c:pt>
                <c:pt idx="124">
                  <c:v>29813</c:v>
                </c:pt>
                <c:pt idx="125">
                  <c:v>29905</c:v>
                </c:pt>
                <c:pt idx="126">
                  <c:v>29997</c:v>
                </c:pt>
                <c:pt idx="127">
                  <c:v>30086</c:v>
                </c:pt>
                <c:pt idx="128">
                  <c:v>30178</c:v>
                </c:pt>
                <c:pt idx="129">
                  <c:v>30270</c:v>
                </c:pt>
                <c:pt idx="130">
                  <c:v>30362</c:v>
                </c:pt>
                <c:pt idx="131">
                  <c:v>30451</c:v>
                </c:pt>
                <c:pt idx="132">
                  <c:v>30543</c:v>
                </c:pt>
                <c:pt idx="133">
                  <c:v>30635</c:v>
                </c:pt>
                <c:pt idx="134">
                  <c:v>30727</c:v>
                </c:pt>
                <c:pt idx="135">
                  <c:v>30817</c:v>
                </c:pt>
                <c:pt idx="136">
                  <c:v>30909</c:v>
                </c:pt>
                <c:pt idx="137">
                  <c:v>31001</c:v>
                </c:pt>
                <c:pt idx="138">
                  <c:v>31093</c:v>
                </c:pt>
                <c:pt idx="139">
                  <c:v>31182</c:v>
                </c:pt>
                <c:pt idx="140">
                  <c:v>31274</c:v>
                </c:pt>
                <c:pt idx="141">
                  <c:v>31366</c:v>
                </c:pt>
                <c:pt idx="142">
                  <c:v>31458</c:v>
                </c:pt>
                <c:pt idx="143">
                  <c:v>31547</c:v>
                </c:pt>
                <c:pt idx="144">
                  <c:v>31639</c:v>
                </c:pt>
                <c:pt idx="145">
                  <c:v>31731</c:v>
                </c:pt>
                <c:pt idx="146">
                  <c:v>31823</c:v>
                </c:pt>
                <c:pt idx="147">
                  <c:v>31912</c:v>
                </c:pt>
                <c:pt idx="148">
                  <c:v>32004</c:v>
                </c:pt>
                <c:pt idx="149">
                  <c:v>32096</c:v>
                </c:pt>
                <c:pt idx="150">
                  <c:v>32188</c:v>
                </c:pt>
                <c:pt idx="151">
                  <c:v>32278</c:v>
                </c:pt>
                <c:pt idx="152">
                  <c:v>32370</c:v>
                </c:pt>
                <c:pt idx="153">
                  <c:v>32462</c:v>
                </c:pt>
                <c:pt idx="154">
                  <c:v>32554</c:v>
                </c:pt>
                <c:pt idx="155">
                  <c:v>32643</c:v>
                </c:pt>
                <c:pt idx="156">
                  <c:v>32735</c:v>
                </c:pt>
                <c:pt idx="157">
                  <c:v>32827</c:v>
                </c:pt>
                <c:pt idx="158">
                  <c:v>32919</c:v>
                </c:pt>
                <c:pt idx="159">
                  <c:v>33008</c:v>
                </c:pt>
                <c:pt idx="160">
                  <c:v>33100</c:v>
                </c:pt>
                <c:pt idx="161">
                  <c:v>33192</c:v>
                </c:pt>
                <c:pt idx="162">
                  <c:v>33284</c:v>
                </c:pt>
                <c:pt idx="163">
                  <c:v>33373</c:v>
                </c:pt>
                <c:pt idx="164">
                  <c:v>33465</c:v>
                </c:pt>
                <c:pt idx="165">
                  <c:v>33557</c:v>
                </c:pt>
                <c:pt idx="166">
                  <c:v>33649</c:v>
                </c:pt>
                <c:pt idx="167">
                  <c:v>33739</c:v>
                </c:pt>
                <c:pt idx="168">
                  <c:v>33831</c:v>
                </c:pt>
                <c:pt idx="169">
                  <c:v>33923</c:v>
                </c:pt>
                <c:pt idx="170">
                  <c:v>34015</c:v>
                </c:pt>
                <c:pt idx="171">
                  <c:v>34104</c:v>
                </c:pt>
                <c:pt idx="172">
                  <c:v>34196</c:v>
                </c:pt>
                <c:pt idx="173">
                  <c:v>34288</c:v>
                </c:pt>
                <c:pt idx="174">
                  <c:v>34380</c:v>
                </c:pt>
                <c:pt idx="175">
                  <c:v>34469</c:v>
                </c:pt>
                <c:pt idx="176">
                  <c:v>34561</c:v>
                </c:pt>
                <c:pt idx="177">
                  <c:v>34653</c:v>
                </c:pt>
                <c:pt idx="178">
                  <c:v>34745</c:v>
                </c:pt>
                <c:pt idx="179">
                  <c:v>34834</c:v>
                </c:pt>
                <c:pt idx="180">
                  <c:v>34926</c:v>
                </c:pt>
                <c:pt idx="181">
                  <c:v>35018</c:v>
                </c:pt>
                <c:pt idx="182">
                  <c:v>35110</c:v>
                </c:pt>
                <c:pt idx="183">
                  <c:v>35200</c:v>
                </c:pt>
                <c:pt idx="184">
                  <c:v>35292</c:v>
                </c:pt>
                <c:pt idx="185">
                  <c:v>35384</c:v>
                </c:pt>
                <c:pt idx="186">
                  <c:v>35476</c:v>
                </c:pt>
                <c:pt idx="187">
                  <c:v>35565</c:v>
                </c:pt>
                <c:pt idx="188">
                  <c:v>35657</c:v>
                </c:pt>
                <c:pt idx="189">
                  <c:v>35749</c:v>
                </c:pt>
                <c:pt idx="190">
                  <c:v>35841</c:v>
                </c:pt>
                <c:pt idx="191">
                  <c:v>35930</c:v>
                </c:pt>
                <c:pt idx="192">
                  <c:v>36022</c:v>
                </c:pt>
                <c:pt idx="193">
                  <c:v>36114</c:v>
                </c:pt>
                <c:pt idx="194">
                  <c:v>36206</c:v>
                </c:pt>
                <c:pt idx="195">
                  <c:v>36295</c:v>
                </c:pt>
                <c:pt idx="196">
                  <c:v>36387</c:v>
                </c:pt>
                <c:pt idx="197">
                  <c:v>36479</c:v>
                </c:pt>
                <c:pt idx="198">
                  <c:v>36571</c:v>
                </c:pt>
                <c:pt idx="199">
                  <c:v>36661</c:v>
                </c:pt>
                <c:pt idx="200">
                  <c:v>36753</c:v>
                </c:pt>
                <c:pt idx="201">
                  <c:v>36845</c:v>
                </c:pt>
                <c:pt idx="202">
                  <c:v>36937</c:v>
                </c:pt>
                <c:pt idx="203">
                  <c:v>37026</c:v>
                </c:pt>
                <c:pt idx="204">
                  <c:v>37118</c:v>
                </c:pt>
                <c:pt idx="205">
                  <c:v>37210</c:v>
                </c:pt>
                <c:pt idx="206">
                  <c:v>37302</c:v>
                </c:pt>
                <c:pt idx="207">
                  <c:v>37391</c:v>
                </c:pt>
                <c:pt idx="208">
                  <c:v>37483</c:v>
                </c:pt>
                <c:pt idx="209">
                  <c:v>37575</c:v>
                </c:pt>
                <c:pt idx="210">
                  <c:v>37667</c:v>
                </c:pt>
                <c:pt idx="211">
                  <c:v>37756</c:v>
                </c:pt>
                <c:pt idx="212">
                  <c:v>37848</c:v>
                </c:pt>
                <c:pt idx="213">
                  <c:v>37940</c:v>
                </c:pt>
                <c:pt idx="214">
                  <c:v>38032</c:v>
                </c:pt>
                <c:pt idx="215">
                  <c:v>38122</c:v>
                </c:pt>
                <c:pt idx="216">
                  <c:v>38214</c:v>
                </c:pt>
                <c:pt idx="217">
                  <c:v>38306</c:v>
                </c:pt>
                <c:pt idx="218">
                  <c:v>38398</c:v>
                </c:pt>
                <c:pt idx="219">
                  <c:v>38487</c:v>
                </c:pt>
                <c:pt idx="220">
                  <c:v>38579</c:v>
                </c:pt>
                <c:pt idx="221">
                  <c:v>38671</c:v>
                </c:pt>
                <c:pt idx="222">
                  <c:v>38763</c:v>
                </c:pt>
                <c:pt idx="223">
                  <c:v>38852</c:v>
                </c:pt>
                <c:pt idx="224">
                  <c:v>38944</c:v>
                </c:pt>
                <c:pt idx="225">
                  <c:v>39036</c:v>
                </c:pt>
                <c:pt idx="226">
                  <c:v>39128</c:v>
                </c:pt>
                <c:pt idx="227">
                  <c:v>39217</c:v>
                </c:pt>
                <c:pt idx="228">
                  <c:v>39309</c:v>
                </c:pt>
                <c:pt idx="229">
                  <c:v>39401</c:v>
                </c:pt>
                <c:pt idx="230">
                  <c:v>39493</c:v>
                </c:pt>
                <c:pt idx="231">
                  <c:v>39583</c:v>
                </c:pt>
                <c:pt idx="232">
                  <c:v>39675</c:v>
                </c:pt>
                <c:pt idx="233">
                  <c:v>39767</c:v>
                </c:pt>
                <c:pt idx="234">
                  <c:v>39859</c:v>
                </c:pt>
                <c:pt idx="235">
                  <c:v>39948</c:v>
                </c:pt>
                <c:pt idx="236">
                  <c:v>40040</c:v>
                </c:pt>
                <c:pt idx="237">
                  <c:v>40132</c:v>
                </c:pt>
                <c:pt idx="238">
                  <c:v>40224</c:v>
                </c:pt>
                <c:pt idx="239">
                  <c:v>40313</c:v>
                </c:pt>
                <c:pt idx="240">
                  <c:v>40405</c:v>
                </c:pt>
                <c:pt idx="241">
                  <c:v>40497</c:v>
                </c:pt>
                <c:pt idx="242">
                  <c:v>40589</c:v>
                </c:pt>
                <c:pt idx="243">
                  <c:v>40678</c:v>
                </c:pt>
                <c:pt idx="244">
                  <c:v>40770</c:v>
                </c:pt>
                <c:pt idx="245">
                  <c:v>40862</c:v>
                </c:pt>
                <c:pt idx="246">
                  <c:v>40954</c:v>
                </c:pt>
                <c:pt idx="247">
                  <c:v>41044</c:v>
                </c:pt>
                <c:pt idx="248">
                  <c:v>41136</c:v>
                </c:pt>
                <c:pt idx="249">
                  <c:v>41228</c:v>
                </c:pt>
                <c:pt idx="250">
                  <c:v>41320</c:v>
                </c:pt>
                <c:pt idx="251">
                  <c:v>41409</c:v>
                </c:pt>
                <c:pt idx="252">
                  <c:v>41501</c:v>
                </c:pt>
                <c:pt idx="253">
                  <c:v>41593</c:v>
                </c:pt>
                <c:pt idx="254">
                  <c:v>41685</c:v>
                </c:pt>
                <c:pt idx="255">
                  <c:v>41774</c:v>
                </c:pt>
                <c:pt idx="256">
                  <c:v>41866</c:v>
                </c:pt>
                <c:pt idx="257">
                  <c:v>41958</c:v>
                </c:pt>
                <c:pt idx="258">
                  <c:v>42050</c:v>
                </c:pt>
                <c:pt idx="259">
                  <c:v>42139</c:v>
                </c:pt>
                <c:pt idx="260">
                  <c:v>42231</c:v>
                </c:pt>
                <c:pt idx="261">
                  <c:v>42323</c:v>
                </c:pt>
                <c:pt idx="262">
                  <c:v>42415</c:v>
                </c:pt>
                <c:pt idx="263">
                  <c:v>42505</c:v>
                </c:pt>
                <c:pt idx="264">
                  <c:v>42597</c:v>
                </c:pt>
                <c:pt idx="265">
                  <c:v>42689</c:v>
                </c:pt>
                <c:pt idx="266">
                  <c:v>42781</c:v>
                </c:pt>
                <c:pt idx="267">
                  <c:v>42870</c:v>
                </c:pt>
                <c:pt idx="268">
                  <c:v>42962</c:v>
                </c:pt>
                <c:pt idx="269">
                  <c:v>43054</c:v>
                </c:pt>
                <c:pt idx="270">
                  <c:v>43146</c:v>
                </c:pt>
                <c:pt idx="271">
                  <c:v>43235</c:v>
                </c:pt>
                <c:pt idx="272">
                  <c:v>43327</c:v>
                </c:pt>
                <c:pt idx="273">
                  <c:v>43419</c:v>
                </c:pt>
                <c:pt idx="274">
                  <c:v>43511</c:v>
                </c:pt>
                <c:pt idx="275">
                  <c:v>43600</c:v>
                </c:pt>
                <c:pt idx="276">
                  <c:v>43692</c:v>
                </c:pt>
                <c:pt idx="277">
                  <c:v>43784</c:v>
                </c:pt>
                <c:pt idx="278">
                  <c:v>43876</c:v>
                </c:pt>
                <c:pt idx="279">
                  <c:v>43966</c:v>
                </c:pt>
                <c:pt idx="280">
                  <c:v>44058</c:v>
                </c:pt>
                <c:pt idx="281">
                  <c:v>44150</c:v>
                </c:pt>
              </c:numCache>
            </c:numRef>
          </c:xVal>
          <c:yVal>
            <c:numRef>
              <c:f>'dat69'!$K$4:$K$285</c:f>
              <c:numCache>
                <c:formatCode>General</c:formatCode>
                <c:ptCount val="282"/>
                <c:pt idx="0">
                  <c:v>1.1552551371732634E-2</c:v>
                </c:pt>
                <c:pt idx="1">
                  <c:v>-3.350888471610425E-3</c:v>
                </c:pt>
                <c:pt idx="2">
                  <c:v>-1.4920081898270076E-2</c:v>
                </c:pt>
                <c:pt idx="3">
                  <c:v>-3.3367981060358078E-2</c:v>
                </c:pt>
                <c:pt idx="4">
                  <c:v>-3.375693967783313E-2</c:v>
                </c:pt>
                <c:pt idx="5">
                  <c:v>-2.6539507988437093E-2</c:v>
                </c:pt>
                <c:pt idx="6">
                  <c:v>-8.9977317886004819E-3</c:v>
                </c:pt>
                <c:pt idx="7">
                  <c:v>-1.0469791495506798E-2</c:v>
                </c:pt>
                <c:pt idx="8">
                  <c:v>-6.2431311553210024E-3</c:v>
                </c:pt>
                <c:pt idx="9">
                  <c:v>-2.9387665595573152E-3</c:v>
                </c:pt>
                <c:pt idx="10">
                  <c:v>9.85190528866795E-3</c:v>
                </c:pt>
                <c:pt idx="11">
                  <c:v>-2.9676740736110929E-3</c:v>
                </c:pt>
                <c:pt idx="12">
                  <c:v>1.6358388449247131E-2</c:v>
                </c:pt>
                <c:pt idx="13">
                  <c:v>9.9972748360794839E-3</c:v>
                </c:pt>
                <c:pt idx="14">
                  <c:v>1.7213615582357455E-2</c:v>
                </c:pt>
                <c:pt idx="15">
                  <c:v>1.4299280740748621E-2</c:v>
                </c:pt>
                <c:pt idx="16">
                  <c:v>2.0154438521245054E-2</c:v>
                </c:pt>
                <c:pt idx="17">
                  <c:v>1.1285671126251095E-2</c:v>
                </c:pt>
                <c:pt idx="18">
                  <c:v>2.3820313062444854E-2</c:v>
                </c:pt>
                <c:pt idx="19">
                  <c:v>-3.062745168373837E-3</c:v>
                </c:pt>
                <c:pt idx="20">
                  <c:v>-5.9405162156025426E-3</c:v>
                </c:pt>
                <c:pt idx="21">
                  <c:v>1.903414055711572E-3</c:v>
                </c:pt>
                <c:pt idx="22">
                  <c:v>1.3889002668235052E-2</c:v>
                </c:pt>
                <c:pt idx="23">
                  <c:v>6.3674901448347752E-3</c:v>
                </c:pt>
                <c:pt idx="24">
                  <c:v>1.9355685100195075E-2</c:v>
                </c:pt>
                <c:pt idx="25">
                  <c:v>1.6154109608780408E-2</c:v>
                </c:pt>
                <c:pt idx="26">
                  <c:v>9.8157282082761196E-3</c:v>
                </c:pt>
                <c:pt idx="27">
                  <c:v>-1.7803311967780289E-2</c:v>
                </c:pt>
                <c:pt idx="28">
                  <c:v>-2.5239220382874093E-2</c:v>
                </c:pt>
                <c:pt idx="29">
                  <c:v>-2.8970564569802449E-2</c:v>
                </c:pt>
                <c:pt idx="30">
                  <c:v>-2.3279355023499804E-2</c:v>
                </c:pt>
                <c:pt idx="31">
                  <c:v>-3.2953944672386014E-2</c:v>
                </c:pt>
                <c:pt idx="32">
                  <c:v>-1.9063378227291317E-2</c:v>
                </c:pt>
                <c:pt idx="33">
                  <c:v>-1.1653062142906734E-2</c:v>
                </c:pt>
                <c:pt idx="34">
                  <c:v>-7.7544088877408157E-3</c:v>
                </c:pt>
                <c:pt idx="35">
                  <c:v>-8.2546485735196743E-3</c:v>
                </c:pt>
                <c:pt idx="36">
                  <c:v>8.1697374655380628E-3</c:v>
                </c:pt>
                <c:pt idx="37">
                  <c:v>1.2640627667852478E-2</c:v>
                </c:pt>
                <c:pt idx="38">
                  <c:v>2.8770993322650717E-2</c:v>
                </c:pt>
                <c:pt idx="39">
                  <c:v>3.6451933621390611E-2</c:v>
                </c:pt>
                <c:pt idx="40">
                  <c:v>2.7270344590204231E-2</c:v>
                </c:pt>
                <c:pt idx="41">
                  <c:v>2.2214762626460428E-2</c:v>
                </c:pt>
                <c:pt idx="42">
                  <c:v>1.6986009122009982E-2</c:v>
                </c:pt>
                <c:pt idx="43">
                  <c:v>-1.1676893070762872E-2</c:v>
                </c:pt>
                <c:pt idx="44">
                  <c:v>-1.0980763001434291E-2</c:v>
                </c:pt>
                <c:pt idx="45">
                  <c:v>-1.1712180336392031E-2</c:v>
                </c:pt>
                <c:pt idx="46">
                  <c:v>-1.097912824641778E-2</c:v>
                </c:pt>
                <c:pt idx="47">
                  <c:v>-1.2089895635311976E-2</c:v>
                </c:pt>
                <c:pt idx="48">
                  <c:v>4.1705443130487293E-3</c:v>
                </c:pt>
                <c:pt idx="49">
                  <c:v>-3.0124751072122535E-3</c:v>
                </c:pt>
                <c:pt idx="50">
                  <c:v>6.2091723451883855E-3</c:v>
                </c:pt>
                <c:pt idx="51">
                  <c:v>-1.4906747362369899E-2</c:v>
                </c:pt>
                <c:pt idx="52">
                  <c:v>-1.8369760164039482E-2</c:v>
                </c:pt>
                <c:pt idx="53">
                  <c:v>-1.316115416139052E-2</c:v>
                </c:pt>
                <c:pt idx="54">
                  <c:v>-6.709316254226572E-3</c:v>
                </c:pt>
                <c:pt idx="55">
                  <c:v>-1.2830521974946052E-2</c:v>
                </c:pt>
                <c:pt idx="56">
                  <c:v>1.2661798157093961E-2</c:v>
                </c:pt>
                <c:pt idx="57">
                  <c:v>8.5359488144248988E-3</c:v>
                </c:pt>
                <c:pt idx="58">
                  <c:v>1.0675225128411547E-2</c:v>
                </c:pt>
                <c:pt idx="59">
                  <c:v>3.6563992875063176E-3</c:v>
                </c:pt>
                <c:pt idx="60">
                  <c:v>1.272071265435688E-2</c:v>
                </c:pt>
                <c:pt idx="61">
                  <c:v>-1.4123423925141766E-3</c:v>
                </c:pt>
                <c:pt idx="62">
                  <c:v>7.0247106040680404E-3</c:v>
                </c:pt>
                <c:pt idx="63">
                  <c:v>-9.8835476926112161E-3</c:v>
                </c:pt>
                <c:pt idx="64">
                  <c:v>7.1577832523532338E-3</c:v>
                </c:pt>
                <c:pt idx="65">
                  <c:v>1.3524084093936396E-2</c:v>
                </c:pt>
                <c:pt idx="66">
                  <c:v>1.9903270244728155E-2</c:v>
                </c:pt>
                <c:pt idx="67">
                  <c:v>1.7097250430139609E-2</c:v>
                </c:pt>
                <c:pt idx="68">
                  <c:v>2.1547114541303359E-2</c:v>
                </c:pt>
                <c:pt idx="69">
                  <c:v>1.4320292126982537E-2</c:v>
                </c:pt>
                <c:pt idx="70">
                  <c:v>5.7612767839669843E-3</c:v>
                </c:pt>
                <c:pt idx="71">
                  <c:v>6.7383105179100507E-3</c:v>
                </c:pt>
                <c:pt idx="72">
                  <c:v>6.7641417303638818E-3</c:v>
                </c:pt>
                <c:pt idx="73">
                  <c:v>1.2017431798037669E-2</c:v>
                </c:pt>
                <c:pt idx="74">
                  <c:v>1.6261335904712661E-2</c:v>
                </c:pt>
                <c:pt idx="75">
                  <c:v>1.0305490318811828E-2</c:v>
                </c:pt>
                <c:pt idx="76">
                  <c:v>4.805189272424926E-3</c:v>
                </c:pt>
                <c:pt idx="77">
                  <c:v>-1.2286939458828528E-3</c:v>
                </c:pt>
                <c:pt idx="78">
                  <c:v>8.8649786916342073E-3</c:v>
                </c:pt>
                <c:pt idx="79">
                  <c:v>8.3366849760249558E-3</c:v>
                </c:pt>
                <c:pt idx="80">
                  <c:v>1.0806122543139552E-2</c:v>
                </c:pt>
                <c:pt idx="81">
                  <c:v>1.396468273800977E-2</c:v>
                </c:pt>
                <c:pt idx="82">
                  <c:v>2.0106946375840273E-2</c:v>
                </c:pt>
                <c:pt idx="83">
                  <c:v>1.08547912221578E-2</c:v>
                </c:pt>
                <c:pt idx="84">
                  <c:v>-4.5816783688330531E-3</c:v>
                </c:pt>
                <c:pt idx="85">
                  <c:v>-1.5898646967758091E-2</c:v>
                </c:pt>
                <c:pt idx="86">
                  <c:v>-1.9024069747059259E-2</c:v>
                </c:pt>
                <c:pt idx="87">
                  <c:v>-2.7867219023743318E-2</c:v>
                </c:pt>
                <c:pt idx="88">
                  <c:v>-2.7506117336798398E-2</c:v>
                </c:pt>
                <c:pt idx="89">
                  <c:v>-1.8321107671320291E-2</c:v>
                </c:pt>
                <c:pt idx="90">
                  <c:v>-4.068923986672246E-3</c:v>
                </c:pt>
                <c:pt idx="91">
                  <c:v>-1.1102459595301716E-2</c:v>
                </c:pt>
                <c:pt idx="92">
                  <c:v>-6.0428418532080027E-3</c:v>
                </c:pt>
                <c:pt idx="93">
                  <c:v>-6.5904064933629772E-3</c:v>
                </c:pt>
                <c:pt idx="94">
                  <c:v>-5.7851648349604547E-3</c:v>
                </c:pt>
                <c:pt idx="95">
                  <c:v>-9.8832781669289105E-3</c:v>
                </c:pt>
                <c:pt idx="96">
                  <c:v>9.8951960770854444E-5</c:v>
                </c:pt>
                <c:pt idx="97">
                  <c:v>4.1922639325916219E-3</c:v>
                </c:pt>
                <c:pt idx="98">
                  <c:v>-2.3930468386643257E-3</c:v>
                </c:pt>
                <c:pt idx="99">
                  <c:v>-1.0730660182052354E-2</c:v>
                </c:pt>
                <c:pt idx="100">
                  <c:v>-2.238448652722962E-2</c:v>
                </c:pt>
                <c:pt idx="101">
                  <c:v>-3.3219321341244876E-2</c:v>
                </c:pt>
                <c:pt idx="102">
                  <c:v>-2.2261987830093765E-2</c:v>
                </c:pt>
                <c:pt idx="103">
                  <c:v>-2.4287181411567892E-2</c:v>
                </c:pt>
                <c:pt idx="104">
                  <c:v>-2.1667412357288817E-2</c:v>
                </c:pt>
                <c:pt idx="105">
                  <c:v>-1.0494514958909917E-2</c:v>
                </c:pt>
                <c:pt idx="106">
                  <c:v>8.76053542545332E-3</c:v>
                </c:pt>
                <c:pt idx="107">
                  <c:v>-5.9037395234858179E-3</c:v>
                </c:pt>
                <c:pt idx="108">
                  <c:v>-3.347557810730528E-3</c:v>
                </c:pt>
                <c:pt idx="109">
                  <c:v>-7.8117313398600179E-4</c:v>
                </c:pt>
                <c:pt idx="110">
                  <c:v>1.2812755268097397E-2</c:v>
                </c:pt>
                <c:pt idx="111">
                  <c:v>2.6929696874926633E-4</c:v>
                </c:pt>
                <c:pt idx="112">
                  <c:v>-1.9962798816486327E-3</c:v>
                </c:pt>
                <c:pt idx="113">
                  <c:v>2.0668927767211187E-4</c:v>
                </c:pt>
                <c:pt idx="114">
                  <c:v>5.486151109266757E-3</c:v>
                </c:pt>
                <c:pt idx="115">
                  <c:v>-1.6997922431555779E-2</c:v>
                </c:pt>
                <c:pt idx="116">
                  <c:v>-2.5088312779630507E-2</c:v>
                </c:pt>
                <c:pt idx="117">
                  <c:v>-2.3739372778816305E-2</c:v>
                </c:pt>
                <c:pt idx="118">
                  <c:v>-1.8756767991466104E-2</c:v>
                </c:pt>
                <c:pt idx="119">
                  <c:v>-3.6738126223050394E-2</c:v>
                </c:pt>
                <c:pt idx="120">
                  <c:v>-2.9951064146824892E-2</c:v>
                </c:pt>
                <c:pt idx="121">
                  <c:v>-1.3266022947447453E-2</c:v>
                </c:pt>
                <c:pt idx="122">
                  <c:v>-9.8055789757456324E-3</c:v>
                </c:pt>
                <c:pt idx="123">
                  <c:v>-2.8070834743207308E-2</c:v>
                </c:pt>
                <c:pt idx="124">
                  <c:v>-1.8641830051166507E-2</c:v>
                </c:pt>
                <c:pt idx="125">
                  <c:v>-8.112229471076482E-3</c:v>
                </c:pt>
                <c:pt idx="126">
                  <c:v>-2.587678849597097E-3</c:v>
                </c:pt>
                <c:pt idx="127">
                  <c:v>-5.4722191296747271E-3</c:v>
                </c:pt>
                <c:pt idx="128">
                  <c:v>1.1036288186623189E-2</c:v>
                </c:pt>
                <c:pt idx="129">
                  <c:v>1.5373303750858014E-2</c:v>
                </c:pt>
                <c:pt idx="130">
                  <c:v>1.8808073207629582E-2</c:v>
                </c:pt>
                <c:pt idx="131">
                  <c:v>-4.1852615543337638E-3</c:v>
                </c:pt>
                <c:pt idx="132">
                  <c:v>9.4827456071609369E-3</c:v>
                </c:pt>
                <c:pt idx="133">
                  <c:v>1.0181258603765463E-2</c:v>
                </c:pt>
                <c:pt idx="134">
                  <c:v>8.8519510534231568E-3</c:v>
                </c:pt>
                <c:pt idx="135">
                  <c:v>-1.0994067997851787E-2</c:v>
                </c:pt>
                <c:pt idx="136">
                  <c:v>1.5458936884151341E-3</c:v>
                </c:pt>
                <c:pt idx="137">
                  <c:v>-1.1460210452722741E-2</c:v>
                </c:pt>
                <c:pt idx="138">
                  <c:v>-3.0276585282003056E-4</c:v>
                </c:pt>
                <c:pt idx="139">
                  <c:v>-6.9900501906001722E-3</c:v>
                </c:pt>
                <c:pt idx="140">
                  <c:v>-3.8858743620471259E-3</c:v>
                </c:pt>
                <c:pt idx="141">
                  <c:v>6.2562498422877866E-3</c:v>
                </c:pt>
                <c:pt idx="142">
                  <c:v>1.0704937618393019E-2</c:v>
                </c:pt>
                <c:pt idx="143">
                  <c:v>2.5384053614654787E-3</c:v>
                </c:pt>
                <c:pt idx="144">
                  <c:v>1.3604823287040624E-2</c:v>
                </c:pt>
                <c:pt idx="145">
                  <c:v>1.4885752454865297E-2</c:v>
                </c:pt>
                <c:pt idx="146">
                  <c:v>1.266970643997869E-2</c:v>
                </c:pt>
                <c:pt idx="147">
                  <c:v>6.6200172756516905E-3</c:v>
                </c:pt>
                <c:pt idx="148">
                  <c:v>-4.5259990787652523E-3</c:v>
                </c:pt>
                <c:pt idx="149">
                  <c:v>-1.4252375398377736E-2</c:v>
                </c:pt>
                <c:pt idx="150">
                  <c:v>-6.9509866213323338E-3</c:v>
                </c:pt>
                <c:pt idx="151">
                  <c:v>-1.917046669770741E-2</c:v>
                </c:pt>
                <c:pt idx="152">
                  <c:v>-6.9352023501201288E-3</c:v>
                </c:pt>
                <c:pt idx="153">
                  <c:v>4.5790876951658181E-3</c:v>
                </c:pt>
                <c:pt idx="154">
                  <c:v>1.1346842648825017E-2</c:v>
                </c:pt>
                <c:pt idx="155">
                  <c:v>1.873314733500777E-2</c:v>
                </c:pt>
                <c:pt idx="156">
                  <c:v>3.8748974912696708E-2</c:v>
                </c:pt>
                <c:pt idx="157">
                  <c:v>3.4248160723513797E-2</c:v>
                </c:pt>
                <c:pt idx="158">
                  <c:v>3.1848439927457228E-2</c:v>
                </c:pt>
                <c:pt idx="159">
                  <c:v>1.674668022371275E-2</c:v>
                </c:pt>
                <c:pt idx="160">
                  <c:v>8.1774161069269272E-3</c:v>
                </c:pt>
                <c:pt idx="161">
                  <c:v>-3.2589319616992186E-3</c:v>
                </c:pt>
                <c:pt idx="162">
                  <c:v>-7.7900937005814799E-5</c:v>
                </c:pt>
                <c:pt idx="163">
                  <c:v>-1.3308113174526071E-3</c:v>
                </c:pt>
                <c:pt idx="164">
                  <c:v>-6.4803724810840184E-4</c:v>
                </c:pt>
                <c:pt idx="165">
                  <c:v>-1.7171464454866836E-2</c:v>
                </c:pt>
                <c:pt idx="166">
                  <c:v>-2.1061743179423685E-2</c:v>
                </c:pt>
                <c:pt idx="167">
                  <c:v>-2.7428779506408318E-2</c:v>
                </c:pt>
                <c:pt idx="168">
                  <c:v>-3.2715428123076505E-2</c:v>
                </c:pt>
                <c:pt idx="169">
                  <c:v>-1.6004516234917433E-2</c:v>
                </c:pt>
                <c:pt idx="170">
                  <c:v>8.7252137924206611E-3</c:v>
                </c:pt>
                <c:pt idx="171">
                  <c:v>1.8635655744914815E-2</c:v>
                </c:pt>
                <c:pt idx="172">
                  <c:v>2.6268011631105814E-2</c:v>
                </c:pt>
                <c:pt idx="173">
                  <c:v>4.1165111455105222E-2</c:v>
                </c:pt>
                <c:pt idx="174">
                  <c:v>4.2276953750934966E-2</c:v>
                </c:pt>
                <c:pt idx="175">
                  <c:v>2.9206164872621444E-2</c:v>
                </c:pt>
                <c:pt idx="176">
                  <c:v>1.3537932738877601E-2</c:v>
                </c:pt>
                <c:pt idx="177">
                  <c:v>2.5862322569144779E-3</c:v>
                </c:pt>
                <c:pt idx="178">
                  <c:v>-9.0318855855077377E-3</c:v>
                </c:pt>
                <c:pt idx="179">
                  <c:v>-2.2121391282086657E-2</c:v>
                </c:pt>
                <c:pt idx="180">
                  <c:v>-1.6723516803591389E-2</c:v>
                </c:pt>
                <c:pt idx="181">
                  <c:v>3.4903973939695021E-3</c:v>
                </c:pt>
                <c:pt idx="182">
                  <c:v>2.1147775199079889E-2</c:v>
                </c:pt>
                <c:pt idx="183">
                  <c:v>2.2241700092225793E-2</c:v>
                </c:pt>
                <c:pt idx="184">
                  <c:v>3.2036396214637011E-2</c:v>
                </c:pt>
                <c:pt idx="185">
                  <c:v>3.9109652366741264E-2</c:v>
                </c:pt>
                <c:pt idx="186">
                  <c:v>3.1881267021534043E-2</c:v>
                </c:pt>
                <c:pt idx="187">
                  <c:v>1.9954383487632833E-2</c:v>
                </c:pt>
                <c:pt idx="188">
                  <c:v>2.2942960658735068E-2</c:v>
                </c:pt>
                <c:pt idx="189">
                  <c:v>2.77043529569573E-2</c:v>
                </c:pt>
                <c:pt idx="190">
                  <c:v>1.9722649678194058E-2</c:v>
                </c:pt>
                <c:pt idx="191">
                  <c:v>1.5061960376845285E-2</c:v>
                </c:pt>
                <c:pt idx="192">
                  <c:v>1.3757193384171274E-2</c:v>
                </c:pt>
                <c:pt idx="193">
                  <c:v>1.3532856562437879E-2</c:v>
                </c:pt>
                <c:pt idx="194">
                  <c:v>1.1601448217168553E-2</c:v>
                </c:pt>
                <c:pt idx="195">
                  <c:v>2.4217266898443057E-3</c:v>
                </c:pt>
                <c:pt idx="196">
                  <c:v>-1.8546296926771789E-3</c:v>
                </c:pt>
                <c:pt idx="197">
                  <c:v>-4.4906921824718893E-3</c:v>
                </c:pt>
                <c:pt idx="198">
                  <c:v>-4.8058467860858658E-4</c:v>
                </c:pt>
                <c:pt idx="199">
                  <c:v>-1.2629922334106069E-2</c:v>
                </c:pt>
                <c:pt idx="200">
                  <c:v>-4.8895265740933171E-3</c:v>
                </c:pt>
                <c:pt idx="201">
                  <c:v>-9.4622908456617697E-3</c:v>
                </c:pt>
                <c:pt idx="202">
                  <c:v>-8.9134409078226902E-3</c:v>
                </c:pt>
                <c:pt idx="203">
                  <c:v>-2.5384420094876424E-2</c:v>
                </c:pt>
                <c:pt idx="204">
                  <c:v>-2.2759053436596944E-2</c:v>
                </c:pt>
                <c:pt idx="205">
                  <c:v>-1.6124597793317895E-2</c:v>
                </c:pt>
                <c:pt idx="206">
                  <c:v>2.1641134586174006E-3</c:v>
                </c:pt>
                <c:pt idx="207">
                  <c:v>-5.3456402390761326E-4</c:v>
                </c:pt>
                <c:pt idx="208">
                  <c:v>3.2704749608223338E-3</c:v>
                </c:pt>
                <c:pt idx="209">
                  <c:v>-1.199399936073675E-3</c:v>
                </c:pt>
                <c:pt idx="210">
                  <c:v>-6.3085035822856737E-3</c:v>
                </c:pt>
                <c:pt idx="211">
                  <c:v>-3.1087407628219842E-2</c:v>
                </c:pt>
                <c:pt idx="212">
                  <c:v>-3.1007303902607929E-2</c:v>
                </c:pt>
                <c:pt idx="213">
                  <c:v>-3.3393744730500254E-2</c:v>
                </c:pt>
                <c:pt idx="214">
                  <c:v>-2.3350866890043419E-2</c:v>
                </c:pt>
                <c:pt idx="215">
                  <c:v>-3.0288005452672805E-2</c:v>
                </c:pt>
                <c:pt idx="216">
                  <c:v>-2.1073030507557357E-2</c:v>
                </c:pt>
                <c:pt idx="217">
                  <c:v>-1.9331280045108024E-2</c:v>
                </c:pt>
                <c:pt idx="218">
                  <c:v>-1.0329175428057091E-2</c:v>
                </c:pt>
                <c:pt idx="219">
                  <c:v>-1.8090441199388962E-2</c:v>
                </c:pt>
                <c:pt idx="220">
                  <c:v>-1.1636549024177078E-2</c:v>
                </c:pt>
                <c:pt idx="221">
                  <c:v>-1.1768080160610239E-2</c:v>
                </c:pt>
                <c:pt idx="222">
                  <c:v>-5.5356118101073546E-3</c:v>
                </c:pt>
                <c:pt idx="223">
                  <c:v>-1.5755452464011378E-2</c:v>
                </c:pt>
                <c:pt idx="224">
                  <c:v>-6.2317583507617517E-3</c:v>
                </c:pt>
                <c:pt idx="225">
                  <c:v>-3.7335511830917769E-3</c:v>
                </c:pt>
                <c:pt idx="226">
                  <c:v>-2.0633903769642358E-4</c:v>
                </c:pt>
                <c:pt idx="227">
                  <c:v>-6.2605829096682442E-3</c:v>
                </c:pt>
                <c:pt idx="228">
                  <c:v>6.9536811490820581E-3</c:v>
                </c:pt>
                <c:pt idx="229">
                  <c:v>3.8693123671775355E-3</c:v>
                </c:pt>
                <c:pt idx="230">
                  <c:v>-1.3481821153138896E-3</c:v>
                </c:pt>
                <c:pt idx="231">
                  <c:v>-1.1895435945158007E-2</c:v>
                </c:pt>
                <c:pt idx="232">
                  <c:v>-8.6449460126013736E-3</c:v>
                </c:pt>
                <c:pt idx="233">
                  <c:v>-1.3653036226523519E-2</c:v>
                </c:pt>
                <c:pt idx="234">
                  <c:v>-1.410566842237131E-2</c:v>
                </c:pt>
                <c:pt idx="235">
                  <c:v>-1.2561840863459572E-2</c:v>
                </c:pt>
                <c:pt idx="236">
                  <c:v>6.410698871411746E-3</c:v>
                </c:pt>
                <c:pt idx="237">
                  <c:v>2.1738926999453411E-2</c:v>
                </c:pt>
                <c:pt idx="238">
                  <c:v>3.3281433777464467E-2</c:v>
                </c:pt>
                <c:pt idx="239">
                  <c:v>3.4936345136326354E-2</c:v>
                </c:pt>
                <c:pt idx="240">
                  <c:v>4.7874233020292499E-2</c:v>
                </c:pt>
                <c:pt idx="241">
                  <c:v>5.1224382931000886E-2</c:v>
                </c:pt>
                <c:pt idx="242">
                  <c:v>3.7292207463961093E-2</c:v>
                </c:pt>
                <c:pt idx="243">
                  <c:v>1.2518635455487015E-2</c:v>
                </c:pt>
                <c:pt idx="244">
                  <c:v>1.2523897463199951E-2</c:v>
                </c:pt>
                <c:pt idx="245">
                  <c:v>2.0686397777870623E-3</c:v>
                </c:pt>
                <c:pt idx="246">
                  <c:v>-7.821921099368901E-3</c:v>
                </c:pt>
                <c:pt idx="247">
                  <c:v>-1.2096555714093783E-2</c:v>
                </c:pt>
                <c:pt idx="248">
                  <c:v>-4.0633942885683896E-4</c:v>
                </c:pt>
                <c:pt idx="249">
                  <c:v>-6.2104631202881673E-4</c:v>
                </c:pt>
                <c:pt idx="250">
                  <c:v>-2.6379822404487994E-3</c:v>
                </c:pt>
                <c:pt idx="251">
                  <c:v>-1.1040132221411803E-2</c:v>
                </c:pt>
                <c:pt idx="252">
                  <c:v>-1.1221140214183656E-2</c:v>
                </c:pt>
                <c:pt idx="253">
                  <c:v>-1.0483593819636105E-2</c:v>
                </c:pt>
                <c:pt idx="254">
                  <c:v>-7.2399793034360728E-3</c:v>
                </c:pt>
                <c:pt idx="255">
                  <c:v>-2.4051755037344689E-3</c:v>
                </c:pt>
                <c:pt idx="256">
                  <c:v>5.3861315192555992E-3</c:v>
                </c:pt>
                <c:pt idx="257">
                  <c:v>1.4612045239224792E-2</c:v>
                </c:pt>
                <c:pt idx="258">
                  <c:v>2.2495500512058796E-2</c:v>
                </c:pt>
                <c:pt idx="259">
                  <c:v>1.5590151837912281E-2</c:v>
                </c:pt>
                <c:pt idx="260">
                  <c:v>2.4712008848166888E-2</c:v>
                </c:pt>
                <c:pt idx="261">
                  <c:v>2.9322666720508116E-2</c:v>
                </c:pt>
                <c:pt idx="262">
                  <c:v>2.8696853208895413E-2</c:v>
                </c:pt>
                <c:pt idx="263">
                  <c:v>1.1005982593285602E-2</c:v>
                </c:pt>
                <c:pt idx="264">
                  <c:v>1.3226158101776875E-2</c:v>
                </c:pt>
                <c:pt idx="265">
                  <c:v>6.9149660803926596E-4</c:v>
                </c:pt>
                <c:pt idx="266">
                  <c:v>-1.9379172224446961E-3</c:v>
                </c:pt>
                <c:pt idx="267">
                  <c:v>-1.9005709334949827E-2</c:v>
                </c:pt>
                <c:pt idx="268">
                  <c:v>-1.3034228276092996E-2</c:v>
                </c:pt>
                <c:pt idx="269">
                  <c:v>-2.4394394293107524E-2</c:v>
                </c:pt>
                <c:pt idx="270">
                  <c:v>-1.7290646040053835E-2</c:v>
                </c:pt>
                <c:pt idx="271">
                  <c:v>-2.1851795662385064E-2</c:v>
                </c:pt>
                <c:pt idx="272">
                  <c:v>-3.7974912967760231E-3</c:v>
                </c:pt>
                <c:pt idx="273">
                  <c:v>-1.2066839347831149E-3</c:v>
                </c:pt>
                <c:pt idx="274">
                  <c:v>1.2470804257453238E-2</c:v>
                </c:pt>
                <c:pt idx="275">
                  <c:v>2.8533452160610651E-3</c:v>
                </c:pt>
                <c:pt idx="276">
                  <c:v>3.1102113675613554E-3</c:v>
                </c:pt>
                <c:pt idx="277">
                  <c:v>-1.0773080066426032E-2</c:v>
                </c:pt>
                <c:pt idx="278">
                  <c:v>-8.0609881797157005E-3</c:v>
                </c:pt>
                <c:pt idx="279">
                  <c:v>-1.9567710427071283E-2</c:v>
                </c:pt>
                <c:pt idx="280">
                  <c:v>-2.2448822750030795E-2</c:v>
                </c:pt>
                <c:pt idx="281">
                  <c:v>-2.5180782636665455E-2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70-4740-B518-2C52AAAD787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25294352"/>
        <c:axId val="625294768"/>
      </c:scatterChart>
      <c:valAx>
        <c:axId val="625294352"/>
        <c:scaling>
          <c:orientation val="minMax"/>
          <c:max val="45000"/>
          <c:min val="1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94768"/>
        <c:crosses val="autoZero"/>
        <c:crossBetween val="midCat"/>
      </c:valAx>
      <c:valAx>
        <c:axId val="62529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Ln(Expenditure)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9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489342</xdr:colOff>
      <xdr:row>2</xdr:row>
      <xdr:rowOff>73024</xdr:rowOff>
    </xdr:from>
    <xdr:to>
      <xdr:col>18</xdr:col>
      <xdr:colOff>342899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D126B-E2B3-4814-B7AE-5E96D48A9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260350</xdr:colOff>
      <xdr:row>61</xdr:row>
      <xdr:rowOff>117474</xdr:rowOff>
    </xdr:from>
    <xdr:to>
      <xdr:col>15</xdr:col>
      <xdr:colOff>590549</xdr:colOff>
      <xdr:row>78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D583A-C9AB-4C4B-8B3B-94FE0A642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514351</xdr:colOff>
      <xdr:row>38</xdr:row>
      <xdr:rowOff>130174</xdr:rowOff>
    </xdr:from>
    <xdr:to>
      <xdr:col>15</xdr:col>
      <xdr:colOff>63501</xdr:colOff>
      <xdr:row>54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66681-074D-461E-8ED4-C0683CBB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31750</xdr:colOff>
      <xdr:row>81</xdr:row>
      <xdr:rowOff>120650</xdr:rowOff>
    </xdr:from>
    <xdr:to>
      <xdr:col>15</xdr:col>
      <xdr:colOff>558800</xdr:colOff>
      <xdr:row>101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42C60-A88F-493B-9BFF-85B8579E9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1</xdr:row>
      <xdr:rowOff>44450</xdr:rowOff>
    </xdr:from>
    <xdr:to>
      <xdr:col>16</xdr:col>
      <xdr:colOff>539750</xdr:colOff>
      <xdr:row>22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59991-C5CD-4F9B-AB1D-5AD8024E5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334818</xdr:colOff>
      <xdr:row>25</xdr:row>
      <xdr:rowOff>103909</xdr:rowOff>
    </xdr:from>
    <xdr:to>
      <xdr:col>17</xdr:col>
      <xdr:colOff>299027</xdr:colOff>
      <xdr:row>51</xdr:row>
      <xdr:rowOff>10388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EC99D1-6756-426D-A332-F3F9C3AD1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44450</xdr:colOff>
      <xdr:row>52</xdr:row>
      <xdr:rowOff>58271</xdr:rowOff>
    </xdr:from>
    <xdr:to>
      <xdr:col>13</xdr:col>
      <xdr:colOff>355600</xdr:colOff>
      <xdr:row>71</xdr:row>
      <xdr:rowOff>95623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61B944-99A5-4B34-AD3E-5C2E71CE9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419100</xdr:colOff>
      <xdr:row>72</xdr:row>
      <xdr:rowOff>107950</xdr:rowOff>
    </xdr:from>
    <xdr:to>
      <xdr:col>13</xdr:col>
      <xdr:colOff>546100</xdr:colOff>
      <xdr:row>89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0C9C4E-D955-4217-8121-DACD520E5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127000</xdr:colOff>
      <xdr:row>91</xdr:row>
      <xdr:rowOff>127000</xdr:rowOff>
    </xdr:from>
    <xdr:to>
      <xdr:col>13</xdr:col>
      <xdr:colOff>95250</xdr:colOff>
      <xdr:row>109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63824F-C1EC-49A5-80EB-06243A78C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384175</xdr:colOff>
      <xdr:row>118</xdr:row>
      <xdr:rowOff>53975</xdr:rowOff>
    </xdr:from>
    <xdr:to>
      <xdr:col>11</xdr:col>
      <xdr:colOff>79375</xdr:colOff>
      <xdr:row>133</xdr:row>
      <xdr:rowOff>34925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D94436-B803-4CB3-8CBE-A2022F36D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4</xdr:row>
      <xdr:rowOff>53974</xdr:rowOff>
    </xdr:from>
    <xdr:to>
      <xdr:col>13</xdr:col>
      <xdr:colOff>361950</xdr:colOff>
      <xdr:row>20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B642D-B49A-4B93-BF8E-738B70F29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260350</xdr:colOff>
      <xdr:row>24</xdr:row>
      <xdr:rowOff>15874</xdr:rowOff>
    </xdr:from>
    <xdr:to>
      <xdr:col>13</xdr:col>
      <xdr:colOff>400050</xdr:colOff>
      <xdr:row>41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CD2DD-7B93-4F53-B747-9C620EBE3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5CC02C5-1C63-4CED-A0F7-B53FB05B84D1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Year" tableColumnId="1"/>
      <queryTableField id="4" dataBound="0" tableColumnId="4"/>
      <queryTableField id="5" dataBound="0" tableColumnId="5"/>
      <queryTableField id="7" dataBound="0" tableColumnId="7"/>
      <queryTableField id="2" name="Quarter" tableColumnId="2"/>
      <queryTableField id="3" name="Expenditure" tableColumnId="3"/>
      <queryTableField id="6" dataBound="0" tableColumnId="6"/>
      <queryTableField id="9" dataBound="0" tableColumnId="9"/>
      <queryTableField id="8" dataBound="0" tableColumnId="8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B70128-D77A-4A8F-834A-93068BC14183}" autoFormatId="16" applyNumberFormats="0" applyBorderFormats="0" applyFontFormats="0" applyPatternFormats="0" applyAlignmentFormats="0" applyWidthHeightFormats="0">
  <queryTableRefresh nextId="22" unboundColumnsRight="13">
    <queryTableFields count="19">
      <queryTableField id="1" name="Year" tableColumnId="1"/>
      <queryTableField id="4" dataBound="0" tableColumnId="5"/>
      <queryTableField id="10" dataBound="0" tableColumnId="11"/>
      <queryTableField id="12" dataBound="0" tableColumnId="13"/>
      <queryTableField id="2" name="Quarter" tableColumnId="2"/>
      <queryTableField id="3" name="Expenditure" tableColumnId="3"/>
      <queryTableField id="5" dataBound="0" tableColumnId="6"/>
      <queryTableField id="6" dataBound="0" tableColumnId="7"/>
      <queryTableField id="7" dataBound="0" tableColumnId="8"/>
      <queryTableField id="8" dataBound="0" tableColumnId="9"/>
      <queryTableField id="9" dataBound="0" tableColumnId="10"/>
      <queryTableField id="14" dataBound="0" tableColumnId="15"/>
      <queryTableField id="15" dataBound="0" tableColumnId="16"/>
      <queryTableField id="16" dataBound="0" tableColumnId="17"/>
      <queryTableField id="17" dataBound="0" tableColumnId="18"/>
      <queryTableField id="18" dataBound="0" tableColumnId="19"/>
      <queryTableField id="19" dataBound="0" tableColumnId="20"/>
      <queryTableField id="20" dataBound="0" tableColumnId="21"/>
      <queryTableField id="21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AD72-062C-4B06-B13C-DFE59D3509A4}" name="_dat69" displayName="_dat69" ref="A1:K285" tableType="queryTable" totalsRowShown="0">
  <autoFilter ref="A1:K285" xr:uid="{C635AD72-062C-4B06-B13C-DFE59D3509A4}"/>
  <tableColumns count="11">
    <tableColumn id="1" xr3:uid="{30D73024-914F-4188-A426-FCA8E8132632}" uniqueName="1" name="Year" queryTableFieldId="1"/>
    <tableColumn id="4" xr3:uid="{1199935C-E641-4011-9317-E76975C2B7C6}" uniqueName="4" name="Date" queryTableFieldId="4" dataDxfId="7">
      <calculatedColumnFormula>DATE(_dat69[[#This Row],[Year]],_dat69[[#This Row],[Quarter]]*3-1,15)</calculatedColumnFormula>
    </tableColumn>
    <tableColumn id="5" xr3:uid="{D7C00C85-7F5C-4563-8E4D-4ECDD0FBAAA5}" uniqueName="5" name="DecDate" queryTableFieldId="5" dataDxfId="6">
      <calculatedColumnFormula>_dat69[[#This Row],[Year]]+(_dat69[[#This Row],[Quarter]]-1)/4+1/8</calculatedColumnFormula>
    </tableColumn>
    <tableColumn id="7" xr3:uid="{A93D2FE4-4C48-405E-A5D9-5D4934CBAE2F}" uniqueName="7" name="DecDate^2" queryTableFieldId="7" dataDxfId="4">
      <calculatedColumnFormula>_dat69[[#This Row],[DecDate]]^2</calculatedColumnFormula>
    </tableColumn>
    <tableColumn id="2" xr3:uid="{0FB277A7-DBAF-4B1A-BAE0-69EF849848EB}" uniqueName="2" name="Quarter" queryTableFieldId="2"/>
    <tableColumn id="3" xr3:uid="{8760A153-37EE-41CA-8C42-376922588B7F}" uniqueName="3" name="Expenditure" queryTableFieldId="3"/>
    <tableColumn id="6" xr3:uid="{F0658CB0-21AF-47F0-AF8A-25F49E5E4E6A}" uniqueName="6" name="LOG(Expenditure 69)" queryTableFieldId="6" dataDxfId="5">
      <calculatedColumnFormula>LN(_dat69[[#This Row],[Expenditure]])</calculatedColumnFormula>
    </tableColumn>
    <tableColumn id="9" xr3:uid="{7FAF4E59-9D43-4442-B789-5AC697A2A3D8}" uniqueName="9" name="Linear Trend LOG" queryTableFieldId="9" dataDxfId="2">
      <calculatedColumnFormula>$P$40+_dat69[[#This Row],[DecDate]]*$P$41</calculatedColumnFormula>
    </tableColumn>
    <tableColumn id="8" xr3:uid="{35ACA840-C613-4510-BE5D-AE07E10473C7}" uniqueName="8" name="Quadratic Trend LOG" queryTableFieldId="8" dataDxfId="3">
      <calculatedColumnFormula>$P$17+$P$18*_dat69[[#This Row],[DecDate]]+$P$19*_dat69[[#This Row],[DecDate^2]]</calculatedColumnFormula>
    </tableColumn>
    <tableColumn id="10" xr3:uid="{628B6E21-DC22-45BD-B1BD-BDD7A9C57EDD}" uniqueName="10" name="Detrend(Quadratic)" queryTableFieldId="10" dataDxfId="1">
      <calculatedColumnFormula>_dat69[[#This Row],[LOG(Expenditure 69)]]-_dat69[[#This Row],[Quadratic Trend LOG]]</calculatedColumnFormula>
    </tableColumn>
    <tableColumn id="11" xr3:uid="{9884825D-F3D9-4DBB-AAD7-C49E16114F06}" uniqueName="11" name="Cycle 69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2CEF4-9DE6-4E9E-9EFD-13CFCE498BDB}" name="_dat80" displayName="_dat80" ref="A1:S285" tableType="queryTable" totalsRowShown="0">
  <autoFilter ref="A1:S285" xr:uid="{2632CEF4-9DE6-4E9E-9EFD-13CFCE498BDB}"/>
  <tableColumns count="19">
    <tableColumn id="1" xr3:uid="{3AB6A9E6-161B-4DB5-BF97-B89A8B434AA7}" uniqueName="1" name="Year" queryTableFieldId="1"/>
    <tableColumn id="5" xr3:uid="{BF30970F-1D7B-4A2F-91DA-96F0AC20C226}" uniqueName="5" name="Date" queryTableFieldId="4" dataDxfId="20">
      <calculatedColumnFormula>DATE(_dat80[[#This Row],[Year]],_dat80[[#This Row],[Quarter]]*3-1,15)</calculatedColumnFormula>
    </tableColumn>
    <tableColumn id="11" xr3:uid="{E364E44E-574F-4835-81D9-0481A230DE6E}" uniqueName="11" name="DecDate" queryTableFieldId="10" dataDxfId="19">
      <calculatedColumnFormula>_dat80[[#This Row],[Year]]+(_dat80[[#This Row],[Quarter]]-1)/4+1/8</calculatedColumnFormula>
    </tableColumn>
    <tableColumn id="13" xr3:uid="{D1000A49-5206-4087-89F9-67F375EB74D6}" uniqueName="13" name="DecDate^2" queryTableFieldId="12" dataDxfId="17">
      <calculatedColumnFormula>_dat80[[#This Row],[DecDate]]^2</calculatedColumnFormula>
    </tableColumn>
    <tableColumn id="2" xr3:uid="{B21B7538-289E-464F-A660-F1FEA57FD4D6}" uniqueName="2" name="Quarter" queryTableFieldId="2"/>
    <tableColumn id="3" xr3:uid="{769E7970-E1A0-4931-A7CB-B620CE55FB62}" uniqueName="3" name="Expenditure" queryTableFieldId="3"/>
    <tableColumn id="6" xr3:uid="{E50BDAB8-8737-4AB3-A9F3-ED84838FA0C4}" uniqueName="6" name="LOG(Expenditure 80)" queryTableFieldId="5" dataDxfId="23">
      <calculatedColumnFormula>LN(_dat80[[#This Row],[Expenditure]])</calculatedColumnFormula>
    </tableColumn>
    <tableColumn id="7" xr3:uid="{EAE4EACA-641A-4A1B-80B9-14C949FBD0AF}" uniqueName="7" name="LOG(Growth Rate)" queryTableFieldId="6" dataDxfId="22">
      <calculatedColumnFormula>_dat80[[#This Row],[LOG(Expenditure 80)]]-G1</calculatedColumnFormula>
    </tableColumn>
    <tableColumn id="8" xr3:uid="{655BD2B8-B732-4525-8211-6A7C9A7B211F}" uniqueName="8" name="Annualized Growth Rate" queryTableFieldId="7" dataDxfId="21">
      <calculatedColumnFormula>(1+(_dat80[[#This Row],[Expenditure]]-F1)/F1)^12-1</calculatedColumnFormula>
    </tableColumn>
    <tableColumn id="9" xr3:uid="{116F6B1F-DB9F-456A-8010-7E52E4EC5F2E}" uniqueName="9" name="Linear Trend" queryTableFieldId="8" dataDxfId="18">
      <calculatedColumnFormula>$W$17+$W$18*_dat80[[#This Row],[DecDate]]</calculatedColumnFormula>
    </tableColumn>
    <tableColumn id="10" xr3:uid="{CBCAAA93-D8FB-41B8-8E83-9BCCE2421649}" uniqueName="10" name="Quadratic Trend" queryTableFieldId="9" dataDxfId="16">
      <calculatedColumnFormula>$W$40+$W$41*_dat80[[#This Row],[DecDate]]+_dat80[[#This Row],[DecDate^2]]*$W$42</calculatedColumnFormula>
    </tableColumn>
    <tableColumn id="15" xr3:uid="{B8FBF019-2444-4812-BD25-21FCC4ACEA3C}" uniqueName="15" name="Linear Trend LOG" queryTableFieldId="14" dataDxfId="15">
      <calculatedColumnFormula>$AG$17+_dat80[[#This Row],[DecDate]]*$AG$18</calculatedColumnFormula>
    </tableColumn>
    <tableColumn id="16" xr3:uid="{EDE6D0EE-6F4A-4EEA-98D0-F0184B7FA9DD}" uniqueName="16" name="Quadratic Trend LOG" queryTableFieldId="15" dataDxfId="14">
      <calculatedColumnFormula>$AG$40+$AG$41*_dat80[[#This Row],[DecDate]]+_dat80[[#This Row],[DecDate^2]]*$AG$42</calculatedColumnFormula>
    </tableColumn>
    <tableColumn id="17" xr3:uid="{9C2FD1DC-0DFD-406D-B364-B7D154B7C6E9}" uniqueName="17" name="Detrend(Linear)" queryTableFieldId="16" dataDxfId="13">
      <calculatedColumnFormula>_dat80[[#This Row],[LOG(Expenditure 80)]]-_dat80[[#This Row],[Linear Trend LOG]]</calculatedColumnFormula>
    </tableColumn>
    <tableColumn id="18" xr3:uid="{A14A5469-841D-4B5E-99EA-6C72F0B53786}" uniqueName="18" name="Cycle 80" queryTableFieldId="17" dataDxfId="12"/>
    <tableColumn id="19" xr3:uid="{C2655B27-F9B3-46B0-A60D-693F6BE21265}" uniqueName="19" name="Low Frequency" queryTableFieldId="18" dataDxfId="11">
      <calculatedColumnFormula>_dat80[[#This Row],[Cycle 80]]+_dat80[[#This Row],[Linear Trend LOG]]</calculatedColumnFormula>
    </tableColumn>
    <tableColumn id="20" xr3:uid="{5EA03319-8E99-4C24-B115-6A27F59C42E1}" uniqueName="20" name="High Frequency" queryTableFieldId="19" dataDxfId="10">
      <calculatedColumnFormula>_dat80[[#This Row],[Detrend(Linear)]]-_dat80[[#This Row],[Cycle 80]]</calculatedColumnFormula>
    </tableColumn>
    <tableColumn id="21" xr3:uid="{9871F26C-3F80-4C91-8A25-EC87BA5DACB9}" uniqueName="21" name="S0" queryTableFieldId="20" dataDxfId="9">
      <calculatedColumnFormula>AVERAGEIF(_dat80[Quarter],_dat80[[#This Row],[Quarter]],_dat80[High Frequency])</calculatedColumnFormula>
    </tableColumn>
    <tableColumn id="22" xr3:uid="{BD1114BE-42AF-4BF6-A34A-616B46EB6613}" uniqueName="22" name="Seasonal" queryTableFieldId="21" dataDxfId="8">
      <calculatedColumnFormula>_dat80[[#This Row],[S0]]-AVERAGE($R$2:$R$5)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D02C-C851-4DC4-BE84-E4EBFC6B5F3B}">
  <dimension ref="A1:W285"/>
  <sheetViews>
    <sheetView topLeftCell="A264" workbookViewId="0">
      <selection activeCell="K4" sqref="K4"/>
    </sheetView>
  </sheetViews>
  <sheetFormatPr defaultRowHeight="14.5" x14ac:dyDescent="0.35"/>
  <cols>
    <col min="1" max="1" width="6.81640625" bestFit="1" customWidth="1"/>
    <col min="2" max="2" width="12.7265625" customWidth="1"/>
    <col min="3" max="3" width="12.7265625" style="2" customWidth="1"/>
    <col min="4" max="4" width="16.26953125" style="2" customWidth="1"/>
    <col min="5" max="5" width="9.7265625" bestFit="1" customWidth="1"/>
    <col min="6" max="6" width="13.26953125" bestFit="1" customWidth="1"/>
    <col min="7" max="8" width="19.81640625" customWidth="1"/>
    <col min="9" max="9" width="20.453125" customWidth="1"/>
    <col min="10" max="11" width="20.26953125" customWidth="1"/>
  </cols>
  <sheetData>
    <row r="1" spans="1:23" x14ac:dyDescent="0.35">
      <c r="A1" t="s">
        <v>0</v>
      </c>
      <c r="B1" t="s">
        <v>3</v>
      </c>
      <c r="C1" s="2" t="s">
        <v>8</v>
      </c>
      <c r="D1" s="2" t="s">
        <v>34</v>
      </c>
      <c r="E1" t="s">
        <v>1</v>
      </c>
      <c r="F1" t="s">
        <v>2</v>
      </c>
      <c r="G1" t="s">
        <v>44</v>
      </c>
      <c r="H1" t="s">
        <v>36</v>
      </c>
      <c r="I1" t="s">
        <v>37</v>
      </c>
      <c r="J1" t="s">
        <v>46</v>
      </c>
      <c r="K1" t="s">
        <v>47</v>
      </c>
      <c r="O1" t="s">
        <v>9</v>
      </c>
    </row>
    <row r="2" spans="1:23" ht="15" thickBot="1" x14ac:dyDescent="0.4">
      <c r="A2">
        <v>1950</v>
      </c>
      <c r="B2" s="1">
        <f>DATE(_dat69[[#This Row],[Year]],_dat69[[#This Row],[Quarter]]*3-1,15)</f>
        <v>18309</v>
      </c>
      <c r="C2" s="2">
        <f>_dat69[[#This Row],[Year]]+(_dat69[[#This Row],[Quarter]]-1)/4+1/8</f>
        <v>1950.125</v>
      </c>
      <c r="D2" s="2">
        <f>_dat69[[#This Row],[DecDate]]^2</f>
        <v>3802987.515625</v>
      </c>
      <c r="E2">
        <v>1</v>
      </c>
      <c r="F2">
        <v>1063</v>
      </c>
      <c r="G2">
        <f>LN(_dat69[[#This Row],[Expenditure]])</f>
        <v>6.9688503783419478</v>
      </c>
      <c r="H2">
        <f>$P$40+_dat69[[#This Row],[DecDate]]*$P$41</f>
        <v>7.000733699446446</v>
      </c>
      <c r="I2" s="2">
        <f>$P$17+$P$18*_dat69[[#This Row],[DecDate]]+$P$19*_dat69[[#This Row],[DecDate^2]]</f>
        <v>6.9501812979598867</v>
      </c>
      <c r="J2" s="2">
        <f>_dat69[[#This Row],[LOG(Expenditure 69)]]-_dat69[[#This Row],[Quadratic Trend LOG]]</f>
        <v>1.8669080382061054E-2</v>
      </c>
      <c r="K2" s="2"/>
    </row>
    <row r="3" spans="1:23" x14ac:dyDescent="0.35">
      <c r="A3">
        <v>1950</v>
      </c>
      <c r="B3" s="1">
        <f>DATE(_dat69[[#This Row],[Year]],_dat69[[#This Row],[Quarter]]*3-1,15)</f>
        <v>18398</v>
      </c>
      <c r="C3" s="2">
        <f>_dat69[[#This Row],[Year]]+(_dat69[[#This Row],[Quarter]]-1)/4+1/8</f>
        <v>1950.375</v>
      </c>
      <c r="D3" s="2">
        <f>_dat69[[#This Row],[DecDate]]^2</f>
        <v>3803962.640625</v>
      </c>
      <c r="E3">
        <v>2</v>
      </c>
      <c r="F3">
        <v>1080</v>
      </c>
      <c r="G3">
        <f>LN(_dat69[[#This Row],[Expenditure]])</f>
        <v>6.9847163201182658</v>
      </c>
      <c r="H3">
        <f>$P$40+_dat69[[#This Row],[DecDate]]*$P$41</f>
        <v>7.002161439574154</v>
      </c>
      <c r="I3" s="2">
        <f>$P$17+$P$18*_dat69[[#This Row],[DecDate]]+$P$19*_dat69[[#This Row],[DecDate^2]]</f>
        <v>6.9526808204512349</v>
      </c>
      <c r="J3" s="2">
        <f>_dat69[[#This Row],[LOG(Expenditure 69)]]-_dat69[[#This Row],[Quadratic Trend LOG]]</f>
        <v>3.2035499667030898E-2</v>
      </c>
      <c r="K3" s="2"/>
      <c r="O3" s="6" t="s">
        <v>10</v>
      </c>
      <c r="P3" s="6"/>
    </row>
    <row r="4" spans="1:23" x14ac:dyDescent="0.35">
      <c r="A4">
        <v>1950</v>
      </c>
      <c r="B4" s="1">
        <f>DATE(_dat69[[#This Row],[Year]],_dat69[[#This Row],[Quarter]]*3-1,15)</f>
        <v>18490</v>
      </c>
      <c r="C4" s="2">
        <f>_dat69[[#This Row],[Year]]+(_dat69[[#This Row],[Quarter]]-1)/4+1/8</f>
        <v>1950.625</v>
      </c>
      <c r="D4" s="2">
        <f>_dat69[[#This Row],[DecDate]]^2</f>
        <v>3804937.890625</v>
      </c>
      <c r="E4">
        <v>3</v>
      </c>
      <c r="F4">
        <v>1120</v>
      </c>
      <c r="G4">
        <f>LN(_dat69[[#This Row],[Expenditure]])</f>
        <v>7.0210839642891401</v>
      </c>
      <c r="H4">
        <f>$P$40+_dat69[[#This Row],[DecDate]]*$P$41</f>
        <v>7.0035891797018621</v>
      </c>
      <c r="I4" s="2">
        <f>$P$17+$P$18*_dat69[[#This Row],[DecDate]]+$P$19*_dat69[[#This Row],[DecDate^2]]</f>
        <v>6.9551727416493065</v>
      </c>
      <c r="J4" s="2">
        <f>_dat69[[#This Row],[LOG(Expenditure 69)]]-_dat69[[#This Row],[Quadratic Trend LOG]]</f>
        <v>6.5911222639833511E-2</v>
      </c>
      <c r="K4" s="2">
        <f>AVERAGE(J2:J6)</f>
        <v>1.1552551371732634E-2</v>
      </c>
      <c r="O4" s="3" t="s">
        <v>11</v>
      </c>
      <c r="P4" s="3">
        <v>0.96141807710691873</v>
      </c>
    </row>
    <row r="5" spans="1:23" x14ac:dyDescent="0.35">
      <c r="A5">
        <v>1950</v>
      </c>
      <c r="B5" s="1">
        <f>DATE(_dat69[[#This Row],[Year]],_dat69[[#This Row],[Quarter]]*3-1,15)</f>
        <v>18582</v>
      </c>
      <c r="C5" s="2">
        <f>_dat69[[#This Row],[Year]]+(_dat69[[#This Row],[Quarter]]-1)/4+1/8</f>
        <v>1950.875</v>
      </c>
      <c r="D5" s="2">
        <f>_dat69[[#This Row],[DecDate]]^2</f>
        <v>3805913.265625</v>
      </c>
      <c r="E5">
        <v>4</v>
      </c>
      <c r="F5">
        <v>1056</v>
      </c>
      <c r="G5">
        <f>LN(_dat69[[#This Row],[Expenditure]])</f>
        <v>6.9622434642662068</v>
      </c>
      <c r="H5">
        <f>$P$40+_dat69[[#This Row],[DecDate]]*$P$41</f>
        <v>7.0050169198295702</v>
      </c>
      <c r="I5" s="2">
        <f>$P$17+$P$18*_dat69[[#This Row],[DecDate]]+$P$19*_dat69[[#This Row],[DecDate^2]]</f>
        <v>6.9576570615539595</v>
      </c>
      <c r="J5" s="2">
        <f>_dat69[[#This Row],[LOG(Expenditure 69)]]-_dat69[[#This Row],[Quadratic Trend LOG]]</f>
        <v>4.5864027122473061E-3</v>
      </c>
      <c r="K5" s="2">
        <f t="shared" ref="K5:K68" si="0">AVERAGE(J3:J7)</f>
        <v>-3.350888471610425E-3</v>
      </c>
      <c r="O5" s="3" t="s">
        <v>12</v>
      </c>
      <c r="P5" s="3">
        <v>0.9243247189879652</v>
      </c>
    </row>
    <row r="6" spans="1:23" x14ac:dyDescent="0.35">
      <c r="A6">
        <v>1951</v>
      </c>
      <c r="B6" s="1">
        <f>DATE(_dat69[[#This Row],[Year]],_dat69[[#This Row],[Quarter]]*3-1,15)</f>
        <v>18674</v>
      </c>
      <c r="C6" s="2">
        <f>_dat69[[#This Row],[Year]]+(_dat69[[#This Row],[Quarter]]-1)/4+1/8</f>
        <v>1951.125</v>
      </c>
      <c r="D6" s="2">
        <f>_dat69[[#This Row],[DecDate]]^2</f>
        <v>3806888.765625</v>
      </c>
      <c r="E6">
        <v>1</v>
      </c>
      <c r="F6">
        <v>989</v>
      </c>
      <c r="G6">
        <f>LN(_dat69[[#This Row],[Expenditure]])</f>
        <v>6.8966943316227125</v>
      </c>
      <c r="H6">
        <f>$P$40+_dat69[[#This Row],[DecDate]]*$P$41</f>
        <v>7.0064446599572765</v>
      </c>
      <c r="I6" s="2">
        <f>$P$17+$P$18*_dat69[[#This Row],[DecDate]]+$P$19*_dat69[[#This Row],[DecDate^2]]</f>
        <v>6.9601337801652221</v>
      </c>
      <c r="J6" s="2">
        <f>_dat69[[#This Row],[LOG(Expenditure 69)]]-_dat69[[#This Row],[Quadratic Trend LOG]]</f>
        <v>-6.3439448542509602E-2</v>
      </c>
      <c r="K6" s="2">
        <f t="shared" si="0"/>
        <v>-1.4920081898270076E-2</v>
      </c>
      <c r="O6" s="3" t="s">
        <v>13</v>
      </c>
      <c r="P6" s="3">
        <v>0.92378610488823543</v>
      </c>
    </row>
    <row r="7" spans="1:23" x14ac:dyDescent="0.35">
      <c r="A7">
        <v>1951</v>
      </c>
      <c r="B7" s="1">
        <f>DATE(_dat69[[#This Row],[Year]],_dat69[[#This Row],[Quarter]]*3-1,15)</f>
        <v>18763</v>
      </c>
      <c r="C7" s="2">
        <f>_dat69[[#This Row],[Year]]+(_dat69[[#This Row],[Quarter]]-1)/4+1/8</f>
        <v>1951.375</v>
      </c>
      <c r="D7" s="2">
        <f>_dat69[[#This Row],[DecDate]]^2</f>
        <v>3807864.390625</v>
      </c>
      <c r="E7">
        <v>2</v>
      </c>
      <c r="F7">
        <v>999</v>
      </c>
      <c r="G7">
        <f>LN(_dat69[[#This Row],[Expenditure]])</f>
        <v>6.9067547786485539</v>
      </c>
      <c r="H7">
        <f>$P$40+_dat69[[#This Row],[DecDate]]*$P$41</f>
        <v>7.0078724000849846</v>
      </c>
      <c r="I7" s="2">
        <f>$P$17+$P$18*_dat69[[#This Row],[DecDate]]+$P$19*_dat69[[#This Row],[DecDate^2]]</f>
        <v>6.9626028974832082</v>
      </c>
      <c r="J7" s="2">
        <f>_dat69[[#This Row],[LOG(Expenditure 69)]]-_dat69[[#This Row],[Quadratic Trend LOG]]</f>
        <v>-5.5848118834654237E-2</v>
      </c>
      <c r="K7" s="2">
        <f t="shared" si="0"/>
        <v>-3.3367981060358078E-2</v>
      </c>
      <c r="O7" s="3" t="s">
        <v>14</v>
      </c>
      <c r="P7" s="3">
        <v>3.4305584195875656E-2</v>
      </c>
    </row>
    <row r="8" spans="1:23" ht="15" thickBot="1" x14ac:dyDescent="0.4">
      <c r="A8">
        <v>1951</v>
      </c>
      <c r="B8" s="1">
        <f>DATE(_dat69[[#This Row],[Year]],_dat69[[#This Row],[Quarter]]*3-1,15)</f>
        <v>18855</v>
      </c>
      <c r="C8" s="2">
        <f>_dat69[[#This Row],[Year]]+(_dat69[[#This Row],[Quarter]]-1)/4+1/8</f>
        <v>1951.625</v>
      </c>
      <c r="D8" s="2">
        <f>_dat69[[#This Row],[DecDate]]^2</f>
        <v>3808840.140625</v>
      </c>
      <c r="E8">
        <v>3</v>
      </c>
      <c r="F8">
        <v>1032</v>
      </c>
      <c r="G8">
        <f>LN(_dat69[[#This Row],[Expenditure]])</f>
        <v>6.9392539460415081</v>
      </c>
      <c r="H8">
        <f>$P$40+_dat69[[#This Row],[DecDate]]*$P$41</f>
        <v>7.0093001402126927</v>
      </c>
      <c r="I8" s="2">
        <f>$P$17+$P$18*_dat69[[#This Row],[DecDate]]+$P$19*_dat69[[#This Row],[DecDate^2]]</f>
        <v>6.9650644135077755</v>
      </c>
      <c r="J8" s="2">
        <f>_dat69[[#This Row],[LOG(Expenditure 69)]]-_dat69[[#This Row],[Quadratic Trend LOG]]</f>
        <v>-2.5810467466267362E-2</v>
      </c>
      <c r="K8" s="2">
        <f t="shared" si="0"/>
        <v>-3.375693967783313E-2</v>
      </c>
      <c r="O8" s="4" t="s">
        <v>15</v>
      </c>
      <c r="P8" s="4">
        <v>284</v>
      </c>
    </row>
    <row r="9" spans="1:23" x14ac:dyDescent="0.35">
      <c r="A9">
        <v>1951</v>
      </c>
      <c r="B9" s="1">
        <f>DATE(_dat69[[#This Row],[Year]],_dat69[[#This Row],[Quarter]]*3-1,15)</f>
        <v>18947</v>
      </c>
      <c r="C9" s="2">
        <f>_dat69[[#This Row],[Year]]+(_dat69[[#This Row],[Quarter]]-1)/4+1/8</f>
        <v>1951.875</v>
      </c>
      <c r="D9" s="2">
        <f>_dat69[[#This Row],[DecDate]]^2</f>
        <v>3809816.015625</v>
      </c>
      <c r="E9">
        <v>4</v>
      </c>
      <c r="F9">
        <v>1034</v>
      </c>
      <c r="G9">
        <f>LN(_dat69[[#This Row],[Expenditure]])</f>
        <v>6.9411900550683745</v>
      </c>
      <c r="H9">
        <f>$P$40+_dat69[[#This Row],[DecDate]]*$P$41</f>
        <v>7.0107278803404007</v>
      </c>
      <c r="I9" s="2">
        <f>$P$17+$P$18*_dat69[[#This Row],[DecDate]]+$P$19*_dat69[[#This Row],[DecDate^2]]</f>
        <v>6.967518328238981</v>
      </c>
      <c r="J9" s="2">
        <f>_dat69[[#This Row],[LOG(Expenditure 69)]]-_dat69[[#This Row],[Quadratic Trend LOG]]</f>
        <v>-2.6328273170606487E-2</v>
      </c>
      <c r="K9" s="2">
        <f t="shared" si="0"/>
        <v>-2.6539507988437093E-2</v>
      </c>
    </row>
    <row r="10" spans="1:23" ht="15" thickBot="1" x14ac:dyDescent="0.4">
      <c r="A10">
        <v>1952</v>
      </c>
      <c r="B10" s="1">
        <f>DATE(_dat69[[#This Row],[Year]],_dat69[[#This Row],[Quarter]]*3-1,15)</f>
        <v>19039</v>
      </c>
      <c r="C10" s="2">
        <f>_dat69[[#This Row],[Year]]+(_dat69[[#This Row],[Quarter]]-1)/4+1/8</f>
        <v>1952.125</v>
      </c>
      <c r="D10" s="2">
        <f>_dat69[[#This Row],[DecDate]]^2</f>
        <v>3810792.015625</v>
      </c>
      <c r="E10">
        <v>1</v>
      </c>
      <c r="F10">
        <v>1067</v>
      </c>
      <c r="G10">
        <f>LN(_dat69[[#This Row],[Expenditure]])</f>
        <v>6.9726062513017535</v>
      </c>
      <c r="H10">
        <f>$P$40+_dat69[[#This Row],[DecDate]]*$P$41</f>
        <v>7.0121556204681088</v>
      </c>
      <c r="I10" s="2">
        <f>$P$17+$P$18*_dat69[[#This Row],[DecDate]]+$P$19*_dat69[[#This Row],[DecDate^2]]</f>
        <v>6.9699646416768815</v>
      </c>
      <c r="J10" s="2">
        <f>_dat69[[#This Row],[LOG(Expenditure 69)]]-_dat69[[#This Row],[Quadratic Trend LOG]]</f>
        <v>2.6416096248720322E-3</v>
      </c>
      <c r="K10" s="2">
        <f t="shared" si="0"/>
        <v>-8.9977317886004819E-3</v>
      </c>
      <c r="O10" t="s">
        <v>16</v>
      </c>
    </row>
    <row r="11" spans="1:23" x14ac:dyDescent="0.35">
      <c r="A11">
        <v>1952</v>
      </c>
      <c r="B11" s="1">
        <f>DATE(_dat69[[#This Row],[Year]],_dat69[[#This Row],[Quarter]]*3-1,15)</f>
        <v>19129</v>
      </c>
      <c r="C11" s="2">
        <f>_dat69[[#This Row],[Year]]+(_dat69[[#This Row],[Quarter]]-1)/4+1/8</f>
        <v>1952.375</v>
      </c>
      <c r="D11" s="2">
        <f>_dat69[[#This Row],[DecDate]]^2</f>
        <v>3811768.140625</v>
      </c>
      <c r="E11">
        <v>2</v>
      </c>
      <c r="F11">
        <v>1038</v>
      </c>
      <c r="G11">
        <f>LN(_dat69[[#This Row],[Expenditure]])</f>
        <v>6.9450510637258338</v>
      </c>
      <c r="H11">
        <f>$P$40+_dat69[[#This Row],[DecDate]]*$P$41</f>
        <v>7.0135833605958169</v>
      </c>
      <c r="I11" s="2">
        <f>$P$17+$P$18*_dat69[[#This Row],[DecDate]]+$P$19*_dat69[[#This Row],[DecDate^2]]</f>
        <v>6.9724033538213632</v>
      </c>
      <c r="J11" s="2">
        <f>_dat69[[#This Row],[LOG(Expenditure 69)]]-_dat69[[#This Row],[Quadratic Trend LOG]]</f>
        <v>-2.7352290095529419E-2</v>
      </c>
      <c r="K11" s="2">
        <f t="shared" si="0"/>
        <v>-1.0469791495506798E-2</v>
      </c>
      <c r="O11" s="5"/>
      <c r="P11" s="5" t="s">
        <v>21</v>
      </c>
      <c r="Q11" s="5" t="s">
        <v>22</v>
      </c>
      <c r="R11" s="5" t="s">
        <v>23</v>
      </c>
      <c r="S11" s="5" t="s">
        <v>24</v>
      </c>
      <c r="T11" s="5" t="s">
        <v>25</v>
      </c>
    </row>
    <row r="12" spans="1:23" x14ac:dyDescent="0.35">
      <c r="A12">
        <v>1952</v>
      </c>
      <c r="B12" s="1">
        <f>DATE(_dat69[[#This Row],[Year]],_dat69[[#This Row],[Quarter]]*3-1,15)</f>
        <v>19221</v>
      </c>
      <c r="C12" s="2">
        <f>_dat69[[#This Row],[Year]]+(_dat69[[#This Row],[Quarter]]-1)/4+1/8</f>
        <v>1952.625</v>
      </c>
      <c r="D12" s="2">
        <f>_dat69[[#This Row],[DecDate]]^2</f>
        <v>3812744.390625</v>
      </c>
      <c r="E12">
        <v>3</v>
      </c>
      <c r="F12">
        <v>1104</v>
      </c>
      <c r="G12">
        <f>LN(_dat69[[#This Row],[Expenditure]])</f>
        <v>7.0066952268370404</v>
      </c>
      <c r="H12">
        <f>$P$40+_dat69[[#This Row],[DecDate]]*$P$41</f>
        <v>7.0150111007235232</v>
      </c>
      <c r="I12" s="2">
        <f>$P$17+$P$18*_dat69[[#This Row],[DecDate]]+$P$19*_dat69[[#This Row],[DecDate^2]]</f>
        <v>6.9748344646725116</v>
      </c>
      <c r="J12" s="2">
        <f>_dat69[[#This Row],[LOG(Expenditure 69)]]-_dat69[[#This Row],[Quadratic Trend LOG]]</f>
        <v>3.1860762164528822E-2</v>
      </c>
      <c r="K12" s="2">
        <f t="shared" si="0"/>
        <v>-6.2431311553210024E-3</v>
      </c>
      <c r="O12" s="3" t="s">
        <v>17</v>
      </c>
      <c r="P12" s="3">
        <v>2</v>
      </c>
      <c r="Q12" s="3">
        <v>4.039303480828984</v>
      </c>
      <c r="R12" s="3">
        <v>2.019651740414492</v>
      </c>
      <c r="S12" s="3">
        <v>1716.1168254817055</v>
      </c>
      <c r="T12" s="3">
        <v>3.1120240774405695E-158</v>
      </c>
    </row>
    <row r="13" spans="1:23" x14ac:dyDescent="0.35">
      <c r="A13">
        <v>1952</v>
      </c>
      <c r="B13" s="1">
        <f>DATE(_dat69[[#This Row],[Year]],_dat69[[#This Row],[Quarter]]*3-1,15)</f>
        <v>19313</v>
      </c>
      <c r="C13" s="2">
        <f>_dat69[[#This Row],[Year]]+(_dat69[[#This Row],[Quarter]]-1)/4+1/8</f>
        <v>1952.875</v>
      </c>
      <c r="D13" s="2">
        <f>_dat69[[#This Row],[DecDate]]^2</f>
        <v>3813720.765625</v>
      </c>
      <c r="E13">
        <v>4</v>
      </c>
      <c r="F13">
        <v>1037</v>
      </c>
      <c r="G13">
        <f>LN(_dat69[[#This Row],[Expenditure]])</f>
        <v>6.9440872082295275</v>
      </c>
      <c r="H13">
        <f>$P$40+_dat69[[#This Row],[DecDate]]*$P$41</f>
        <v>7.0164388408512313</v>
      </c>
      <c r="I13" s="2">
        <f>$P$17+$P$18*_dat69[[#This Row],[DecDate]]+$P$19*_dat69[[#This Row],[DecDate^2]]</f>
        <v>6.9772579742303265</v>
      </c>
      <c r="J13" s="2">
        <f>_dat69[[#This Row],[LOG(Expenditure 69)]]-_dat69[[#This Row],[Quadratic Trend LOG]]</f>
        <v>-3.3170766000798935E-2</v>
      </c>
      <c r="K13" s="2">
        <f t="shared" si="0"/>
        <v>-2.9387665595573152E-3</v>
      </c>
      <c r="O13" s="3" t="s">
        <v>18</v>
      </c>
      <c r="P13" s="3">
        <v>281</v>
      </c>
      <c r="Q13" s="3">
        <v>0.3307013430727081</v>
      </c>
      <c r="R13" s="3">
        <v>1.1768731070203136E-3</v>
      </c>
      <c r="S13" s="3"/>
      <c r="T13" s="3"/>
    </row>
    <row r="14" spans="1:23" ht="15" thickBot="1" x14ac:dyDescent="0.4">
      <c r="A14">
        <v>1953</v>
      </c>
      <c r="B14" s="1">
        <f>DATE(_dat69[[#This Row],[Year]],_dat69[[#This Row],[Quarter]]*3-1,15)</f>
        <v>19405</v>
      </c>
      <c r="C14" s="2">
        <f>_dat69[[#This Row],[Year]]+(_dat69[[#This Row],[Quarter]]-1)/4+1/8</f>
        <v>1953.125</v>
      </c>
      <c r="D14" s="2">
        <f>_dat69[[#This Row],[DecDate]]^2</f>
        <v>3814697.265625</v>
      </c>
      <c r="E14">
        <v>1</v>
      </c>
      <c r="F14">
        <v>1069</v>
      </c>
      <c r="G14">
        <f>LN(_dat69[[#This Row],[Expenditure]])</f>
        <v>6.9744789110250451</v>
      </c>
      <c r="H14">
        <f>$P$40+_dat69[[#This Row],[DecDate]]*$P$41</f>
        <v>7.0178665809789393</v>
      </c>
      <c r="I14" s="2">
        <f>$P$17+$P$18*_dat69[[#This Row],[DecDate]]+$P$19*_dat69[[#This Row],[DecDate^2]]</f>
        <v>6.9796738824947226</v>
      </c>
      <c r="J14" s="2">
        <f>_dat69[[#This Row],[LOG(Expenditure 69)]]-_dat69[[#This Row],[Quadratic Trend LOG]]</f>
        <v>-5.1949714696775118E-3</v>
      </c>
      <c r="K14" s="2">
        <f t="shared" si="0"/>
        <v>9.85190528866795E-3</v>
      </c>
      <c r="O14" s="4" t="s">
        <v>19</v>
      </c>
      <c r="P14" s="4">
        <v>283</v>
      </c>
      <c r="Q14" s="4">
        <v>4.3700048239016924</v>
      </c>
      <c r="R14" s="4"/>
      <c r="S14" s="4"/>
      <c r="T14" s="4"/>
    </row>
    <row r="15" spans="1:23" ht="15" thickBot="1" x14ac:dyDescent="0.4">
      <c r="A15">
        <v>1953</v>
      </c>
      <c r="B15" s="1">
        <f>DATE(_dat69[[#This Row],[Year]],_dat69[[#This Row],[Quarter]]*3-1,15)</f>
        <v>19494</v>
      </c>
      <c r="C15" s="2">
        <f>_dat69[[#This Row],[Year]]+(_dat69[[#This Row],[Quarter]]-1)/4+1/8</f>
        <v>1953.375</v>
      </c>
      <c r="D15" s="2">
        <f>_dat69[[#This Row],[DecDate]]^2</f>
        <v>3815673.890625</v>
      </c>
      <c r="E15">
        <v>2</v>
      </c>
      <c r="F15">
        <v>1098</v>
      </c>
      <c r="G15">
        <f>LN(_dat69[[#This Row],[Expenditure]])</f>
        <v>7.0012456220694759</v>
      </c>
      <c r="H15">
        <f>$P$40+_dat69[[#This Row],[DecDate]]*$P$41</f>
        <v>7.0192943211066474</v>
      </c>
      <c r="I15" s="2">
        <f>$P$17+$P$18*_dat69[[#This Row],[DecDate]]+$P$19*_dat69[[#This Row],[DecDate^2]]</f>
        <v>6.9820821894657854</v>
      </c>
      <c r="J15" s="2">
        <f>_dat69[[#This Row],[LOG(Expenditure 69)]]-_dat69[[#This Row],[Quadratic Trend LOG]]</f>
        <v>1.9163432603690467E-2</v>
      </c>
      <c r="K15" s="2">
        <f t="shared" si="0"/>
        <v>-2.9676740736110929E-3</v>
      </c>
    </row>
    <row r="16" spans="1:23" x14ac:dyDescent="0.35">
      <c r="A16">
        <v>1953</v>
      </c>
      <c r="B16" s="1">
        <f>DATE(_dat69[[#This Row],[Year]],_dat69[[#This Row],[Quarter]]*3-1,15)</f>
        <v>19586</v>
      </c>
      <c r="C16" s="2">
        <f>_dat69[[#This Row],[Year]]+(_dat69[[#This Row],[Quarter]]-1)/4+1/8</f>
        <v>1953.625</v>
      </c>
      <c r="D16" s="2">
        <f>_dat69[[#This Row],[DecDate]]^2</f>
        <v>3816650.640625</v>
      </c>
      <c r="E16">
        <v>3</v>
      </c>
      <c r="F16">
        <v>1120</v>
      </c>
      <c r="G16">
        <f>LN(_dat69[[#This Row],[Expenditure]])</f>
        <v>7.0210839642891401</v>
      </c>
      <c r="H16">
        <f>$P$40+_dat69[[#This Row],[DecDate]]*$P$41</f>
        <v>7.0207220612343555</v>
      </c>
      <c r="I16" s="2">
        <f>$P$17+$P$18*_dat69[[#This Row],[DecDate]]+$P$19*_dat69[[#This Row],[DecDate^2]]</f>
        <v>6.9844828951435431</v>
      </c>
      <c r="J16" s="2">
        <f>_dat69[[#This Row],[LOG(Expenditure 69)]]-_dat69[[#This Row],[Quadratic Trend LOG]]</f>
        <v>3.6601069145596909E-2</v>
      </c>
      <c r="K16" s="2">
        <f t="shared" si="0"/>
        <v>1.6358388449247131E-2</v>
      </c>
      <c r="O16" s="5"/>
      <c r="P16" s="5" t="s">
        <v>26</v>
      </c>
      <c r="Q16" s="5" t="s">
        <v>14</v>
      </c>
      <c r="R16" s="5" t="s">
        <v>27</v>
      </c>
      <c r="S16" s="5" t="s">
        <v>28</v>
      </c>
      <c r="T16" s="5" t="s">
        <v>29</v>
      </c>
      <c r="U16" s="5" t="s">
        <v>30</v>
      </c>
      <c r="V16" s="5" t="s">
        <v>31</v>
      </c>
      <c r="W16" s="5" t="s">
        <v>32</v>
      </c>
    </row>
    <row r="17" spans="1:23" x14ac:dyDescent="0.35">
      <c r="A17">
        <v>1953</v>
      </c>
      <c r="B17" s="1">
        <f>DATE(_dat69[[#This Row],[Year]],_dat69[[#This Row],[Quarter]]*3-1,15)</f>
        <v>19678</v>
      </c>
      <c r="C17" s="2">
        <f>_dat69[[#This Row],[Year]]+(_dat69[[#This Row],[Quarter]]-1)/4+1/8</f>
        <v>1953.875</v>
      </c>
      <c r="D17" s="2">
        <f>_dat69[[#This Row],[DecDate]]^2</f>
        <v>3817627.515625</v>
      </c>
      <c r="E17">
        <v>4</v>
      </c>
      <c r="F17">
        <v>1048</v>
      </c>
      <c r="G17">
        <f>LN(_dat69[[#This Row],[Expenditure]])</f>
        <v>6.9546388648809874</v>
      </c>
      <c r="H17">
        <f>$P$40+_dat69[[#This Row],[DecDate]]*$P$41</f>
        <v>7.0221498013620636</v>
      </c>
      <c r="I17" s="2">
        <f>$P$17+$P$18*_dat69[[#This Row],[DecDate]]+$P$19*_dat69[[#This Row],[DecDate^2]]</f>
        <v>6.9868759995278538</v>
      </c>
      <c r="J17" s="2">
        <f>_dat69[[#This Row],[LOG(Expenditure 69)]]-_dat69[[#This Row],[Quadratic Trend LOG]]</f>
        <v>-3.2237134646866394E-2</v>
      </c>
      <c r="K17" s="2">
        <f t="shared" si="0"/>
        <v>9.9972748360794839E-3</v>
      </c>
      <c r="O17" s="3" t="s">
        <v>20</v>
      </c>
      <c r="P17" s="3">
        <v>-243.83798082706028</v>
      </c>
      <c r="Q17" s="3">
        <v>21.357513230470804</v>
      </c>
      <c r="R17" s="3">
        <v>-11.416964990061491</v>
      </c>
      <c r="S17" s="3">
        <v>4.6823054951959784E-25</v>
      </c>
      <c r="T17" s="3">
        <v>-285.87900884682233</v>
      </c>
      <c r="U17" s="3">
        <v>-201.79695280729825</v>
      </c>
      <c r="V17" s="3">
        <v>-285.87900884682233</v>
      </c>
      <c r="W17" s="3">
        <v>-201.79695280729825</v>
      </c>
    </row>
    <row r="18" spans="1:23" x14ac:dyDescent="0.35">
      <c r="A18">
        <v>1954</v>
      </c>
      <c r="B18" s="1">
        <f>DATE(_dat69[[#This Row],[Year]],_dat69[[#This Row],[Quarter]]*3-1,15)</f>
        <v>19770</v>
      </c>
      <c r="C18" s="2">
        <f>_dat69[[#This Row],[Year]]+(_dat69[[#This Row],[Quarter]]-1)/4+1/8</f>
        <v>1954.125</v>
      </c>
      <c r="D18" s="2">
        <f>_dat69[[#This Row],[DecDate]]^2</f>
        <v>3818604.515625</v>
      </c>
      <c r="E18">
        <v>1</v>
      </c>
      <c r="F18">
        <v>1156</v>
      </c>
      <c r="G18">
        <f>LN(_dat69[[#This Row],[Expenditure]])</f>
        <v>7.0527210492323231</v>
      </c>
      <c r="H18">
        <f>$P$40+_dat69[[#This Row],[DecDate]]*$P$41</f>
        <v>7.0235775414897699</v>
      </c>
      <c r="I18" s="2">
        <f>$P$17+$P$18*_dat69[[#This Row],[DecDate]]+$P$19*_dat69[[#This Row],[DecDate^2]]</f>
        <v>6.9892615026188309</v>
      </c>
      <c r="J18" s="2">
        <f>_dat69[[#This Row],[LOG(Expenditure 69)]]-_dat69[[#This Row],[Quadratic Trend LOG]]</f>
        <v>6.3459546613492179E-2</v>
      </c>
      <c r="K18" s="2">
        <f t="shared" si="0"/>
        <v>1.7213615582357455E-2</v>
      </c>
      <c r="O18" s="3" t="s">
        <v>33</v>
      </c>
      <c r="P18" s="3">
        <v>0.24718884795159471</v>
      </c>
      <c r="Q18" s="3">
        <v>2.1515090674490187E-2</v>
      </c>
      <c r="R18" s="3">
        <v>11.4890916190597</v>
      </c>
      <c r="S18" s="3">
        <v>2.6549196368968678E-25</v>
      </c>
      <c r="T18" s="3">
        <v>0.20483763785830131</v>
      </c>
      <c r="U18" s="3">
        <v>0.28954005804488814</v>
      </c>
      <c r="V18" s="3">
        <v>0.20483763785830131</v>
      </c>
      <c r="W18" s="3">
        <v>0.28954005804488814</v>
      </c>
    </row>
    <row r="19" spans="1:23" ht="15" thickBot="1" x14ac:dyDescent="0.4">
      <c r="A19">
        <v>1954</v>
      </c>
      <c r="B19" s="1">
        <f>DATE(_dat69[[#This Row],[Year]],_dat69[[#This Row],[Quarter]]*3-1,15)</f>
        <v>19859</v>
      </c>
      <c r="C19" s="2">
        <f>_dat69[[#This Row],[Year]]+(_dat69[[#This Row],[Quarter]]-1)/4+1/8</f>
        <v>1954.375</v>
      </c>
      <c r="D19" s="2">
        <f>_dat69[[#This Row],[DecDate]]^2</f>
        <v>3819581.640625</v>
      </c>
      <c r="E19">
        <v>2</v>
      </c>
      <c r="F19">
        <v>1048</v>
      </c>
      <c r="G19">
        <f>LN(_dat69[[#This Row],[Expenditure]])</f>
        <v>6.9546388648809874</v>
      </c>
      <c r="H19">
        <f>$P$40+_dat69[[#This Row],[DecDate]]*$P$41</f>
        <v>7.0250052816174779</v>
      </c>
      <c r="I19" s="2">
        <f>$P$17+$P$18*_dat69[[#This Row],[DecDate]]+$P$19*_dat69[[#This Row],[DecDate^2]]</f>
        <v>6.9916394044165031</v>
      </c>
      <c r="J19" s="2">
        <f>_dat69[[#This Row],[LOG(Expenditure 69)]]-_dat69[[#This Row],[Quadratic Trend LOG]]</f>
        <v>-3.7000539535515742E-2</v>
      </c>
      <c r="K19" s="2">
        <f t="shared" si="0"/>
        <v>1.4299280740748621E-2</v>
      </c>
      <c r="O19" s="4" t="s">
        <v>35</v>
      </c>
      <c r="P19" s="4">
        <v>-6.0810346875034903E-5</v>
      </c>
      <c r="Q19" s="4">
        <v>5.4179958257237821E-6</v>
      </c>
      <c r="R19" s="4">
        <v>-11.223771451856248</v>
      </c>
      <c r="S19" s="4">
        <v>2.1269166914512042E-24</v>
      </c>
      <c r="T19" s="4">
        <v>-7.1475357911770943E-5</v>
      </c>
      <c r="U19" s="4">
        <v>-5.0145335838298857E-5</v>
      </c>
      <c r="V19" s="4">
        <v>-7.1475357911770943E-5</v>
      </c>
      <c r="W19" s="4">
        <v>-5.0145335838298857E-5</v>
      </c>
    </row>
    <row r="20" spans="1:23" x14ac:dyDescent="0.35">
      <c r="A20">
        <v>1954</v>
      </c>
      <c r="B20" s="1">
        <f>DATE(_dat69[[#This Row],[Year]],_dat69[[#This Row],[Quarter]]*3-1,15)</f>
        <v>19951</v>
      </c>
      <c r="C20" s="2">
        <f>_dat69[[#This Row],[Year]]+(_dat69[[#This Row],[Quarter]]-1)/4+1/8</f>
        <v>1954.625</v>
      </c>
      <c r="D20" s="2">
        <f>_dat69[[#This Row],[DecDate]]^2</f>
        <v>3820558.890625</v>
      </c>
      <c r="E20">
        <v>3</v>
      </c>
      <c r="F20">
        <v>1152</v>
      </c>
      <c r="G20">
        <f>LN(_dat69[[#This Row],[Expenditure]])</f>
        <v>7.0492548412558369</v>
      </c>
      <c r="H20">
        <f>$P$40+_dat69[[#This Row],[DecDate]]*$P$41</f>
        <v>7.026433021745186</v>
      </c>
      <c r="I20" s="2">
        <f>$P$17+$P$18*_dat69[[#This Row],[DecDate]]+$P$19*_dat69[[#This Row],[DecDate^2]]</f>
        <v>6.9940097049207566</v>
      </c>
      <c r="J20" s="2">
        <f>_dat69[[#This Row],[LOG(Expenditure 69)]]-_dat69[[#This Row],[Quadratic Trend LOG]]</f>
        <v>5.5245136335080325E-2</v>
      </c>
      <c r="K20" s="2">
        <f t="shared" si="0"/>
        <v>2.0154438521245054E-2</v>
      </c>
    </row>
    <row r="21" spans="1:23" x14ac:dyDescent="0.35">
      <c r="A21">
        <v>1954</v>
      </c>
      <c r="B21" s="1">
        <f>DATE(_dat69[[#This Row],[Year]],_dat69[[#This Row],[Quarter]]*3-1,15)</f>
        <v>20043</v>
      </c>
      <c r="C21" s="2">
        <f>_dat69[[#This Row],[Year]]+(_dat69[[#This Row],[Quarter]]-1)/4+1/8</f>
        <v>1954.875</v>
      </c>
      <c r="D21" s="2">
        <f>_dat69[[#This Row],[DecDate]]^2</f>
        <v>3821536.265625</v>
      </c>
      <c r="E21">
        <v>4</v>
      </c>
      <c r="F21">
        <v>1117</v>
      </c>
      <c r="G21">
        <f>LN(_dat69[[#This Row],[Expenditure]])</f>
        <v>7.0184017990692009</v>
      </c>
      <c r="H21">
        <f>$P$40+_dat69[[#This Row],[DecDate]]*$P$41</f>
        <v>7.0278607618728941</v>
      </c>
      <c r="I21" s="2">
        <f>$P$17+$P$18*_dat69[[#This Row],[DecDate]]+$P$19*_dat69[[#This Row],[DecDate^2]]</f>
        <v>6.9963724041316482</v>
      </c>
      <c r="J21" s="2">
        <f>_dat69[[#This Row],[LOG(Expenditure 69)]]-_dat69[[#This Row],[Quadratic Trend LOG]]</f>
        <v>2.2029394937552738E-2</v>
      </c>
      <c r="K21" s="2">
        <f t="shared" si="0"/>
        <v>1.1285671126251095E-2</v>
      </c>
    </row>
    <row r="22" spans="1:23" x14ac:dyDescent="0.35">
      <c r="A22">
        <v>1955</v>
      </c>
      <c r="B22" s="1">
        <f>DATE(_dat69[[#This Row],[Year]],_dat69[[#This Row],[Quarter]]*3-1,15)</f>
        <v>20135</v>
      </c>
      <c r="C22" s="2">
        <f>_dat69[[#This Row],[Year]]+(_dat69[[#This Row],[Quarter]]-1)/4+1/8</f>
        <v>1955.125</v>
      </c>
      <c r="D22" s="2">
        <f>_dat69[[#This Row],[DecDate]]^2</f>
        <v>3822513.765625</v>
      </c>
      <c r="E22">
        <v>1</v>
      </c>
      <c r="F22">
        <v>1092</v>
      </c>
      <c r="G22">
        <f>LN(_dat69[[#This Row],[Expenditure]])</f>
        <v>6.9957661563048505</v>
      </c>
      <c r="H22">
        <f>$P$40+_dat69[[#This Row],[DecDate]]*$P$41</f>
        <v>7.0292885020006022</v>
      </c>
      <c r="I22" s="2">
        <f>$P$17+$P$18*_dat69[[#This Row],[DecDate]]+$P$19*_dat69[[#This Row],[DecDate^2]]</f>
        <v>6.9987275020492348</v>
      </c>
      <c r="J22" s="2">
        <f>_dat69[[#This Row],[LOG(Expenditure 69)]]-_dat69[[#This Row],[Quadratic Trend LOG]]</f>
        <v>-2.961345744384225E-3</v>
      </c>
      <c r="K22" s="2">
        <f t="shared" si="0"/>
        <v>2.3820313062444854E-2</v>
      </c>
    </row>
    <row r="23" spans="1:23" x14ac:dyDescent="0.35">
      <c r="A23">
        <v>1955</v>
      </c>
      <c r="B23" s="1">
        <f>DATE(_dat69[[#This Row],[Year]],_dat69[[#This Row],[Quarter]]*3-1,15)</f>
        <v>20224</v>
      </c>
      <c r="C23" s="2">
        <f>_dat69[[#This Row],[Year]]+(_dat69[[#This Row],[Quarter]]-1)/4+1/8</f>
        <v>1955.375</v>
      </c>
      <c r="D23" s="2">
        <f>_dat69[[#This Row],[DecDate]]^2</f>
        <v>3823491.390625</v>
      </c>
      <c r="E23">
        <v>2</v>
      </c>
      <c r="F23">
        <v>1119</v>
      </c>
      <c r="G23">
        <f>LN(_dat69[[#This Row],[Expenditure]])</f>
        <v>7.020190708311925</v>
      </c>
      <c r="H23">
        <f>$P$40+_dat69[[#This Row],[DecDate]]*$P$41</f>
        <v>7.0307162421283085</v>
      </c>
      <c r="I23" s="2">
        <f>$P$17+$P$18*_dat69[[#This Row],[DecDate]]+$P$19*_dat69[[#This Row],[DecDate^2]]</f>
        <v>7.0010749986734027</v>
      </c>
      <c r="J23" s="2">
        <f>_dat69[[#This Row],[LOG(Expenditure 69)]]-_dat69[[#This Row],[Quadratic Trend LOG]]</f>
        <v>1.9115709638522382E-2</v>
      </c>
      <c r="K23" s="2">
        <f t="shared" si="0"/>
        <v>-3.062745168373837E-3</v>
      </c>
    </row>
    <row r="24" spans="1:23" x14ac:dyDescent="0.35">
      <c r="A24">
        <v>1955</v>
      </c>
      <c r="B24" s="1">
        <f>DATE(_dat69[[#This Row],[Year]],_dat69[[#This Row],[Quarter]]*3-1,15)</f>
        <v>20316</v>
      </c>
      <c r="C24" s="2">
        <f>_dat69[[#This Row],[Year]]+(_dat69[[#This Row],[Quarter]]-1)/4+1/8</f>
        <v>1955.625</v>
      </c>
      <c r="D24" s="2">
        <f>_dat69[[#This Row],[DecDate]]^2</f>
        <v>3824469.140625</v>
      </c>
      <c r="E24">
        <v>3</v>
      </c>
      <c r="F24">
        <v>1129</v>
      </c>
      <c r="G24">
        <f>LN(_dat69[[#This Row],[Expenditure]])</f>
        <v>7.0290875641496617</v>
      </c>
      <c r="H24">
        <f>$P$40+_dat69[[#This Row],[DecDate]]*$P$41</f>
        <v>7.0321439822560166</v>
      </c>
      <c r="I24" s="2">
        <f>$P$17+$P$18*_dat69[[#This Row],[DecDate]]+$P$19*_dat69[[#This Row],[DecDate^2]]</f>
        <v>7.0034148940042087</v>
      </c>
      <c r="J24" s="2">
        <f>_dat69[[#This Row],[LOG(Expenditure 69)]]-_dat69[[#This Row],[Quadratic Trend LOG]]</f>
        <v>2.5672670145453047E-2</v>
      </c>
      <c r="K24" s="2">
        <f t="shared" si="0"/>
        <v>-5.9405162156025426E-3</v>
      </c>
      <c r="O24" t="s">
        <v>9</v>
      </c>
    </row>
    <row r="25" spans="1:23" ht="15" thickBot="1" x14ac:dyDescent="0.4">
      <c r="A25">
        <v>1955</v>
      </c>
      <c r="B25" s="1">
        <f>DATE(_dat69[[#This Row],[Year]],_dat69[[#This Row],[Quarter]]*3-1,15)</f>
        <v>20408</v>
      </c>
      <c r="C25" s="2">
        <f>_dat69[[#This Row],[Year]]+(_dat69[[#This Row],[Quarter]]-1)/4+1/8</f>
        <v>1955.875</v>
      </c>
      <c r="D25" s="2">
        <f>_dat69[[#This Row],[DecDate]]^2</f>
        <v>3825447.015625</v>
      </c>
      <c r="E25">
        <v>4</v>
      </c>
      <c r="F25">
        <v>1019</v>
      </c>
      <c r="G25">
        <f>LN(_dat69[[#This Row],[Expenditure]])</f>
        <v>6.926577033222725</v>
      </c>
      <c r="H25">
        <f>$P$40+_dat69[[#This Row],[DecDate]]*$P$41</f>
        <v>7.0335717223837246</v>
      </c>
      <c r="I25" s="2">
        <f>$P$17+$P$18*_dat69[[#This Row],[DecDate]]+$P$19*_dat69[[#This Row],[DecDate^2]]</f>
        <v>7.0057471880417381</v>
      </c>
      <c r="J25" s="2">
        <f>_dat69[[#This Row],[LOG(Expenditure 69)]]-_dat69[[#This Row],[Quadratic Trend LOG]]</f>
        <v>-7.9170154819013128E-2</v>
      </c>
      <c r="K25" s="2">
        <f t="shared" si="0"/>
        <v>1.903414055711572E-3</v>
      </c>
    </row>
    <row r="26" spans="1:23" x14ac:dyDescent="0.35">
      <c r="A26">
        <v>1956</v>
      </c>
      <c r="B26" s="1">
        <f>DATE(_dat69[[#This Row],[Year]],_dat69[[#This Row],[Quarter]]*3-1,15)</f>
        <v>20500</v>
      </c>
      <c r="C26" s="2">
        <f>_dat69[[#This Row],[Year]]+(_dat69[[#This Row],[Quarter]]-1)/4+1/8</f>
        <v>1956.125</v>
      </c>
      <c r="D26" s="2">
        <f>_dat69[[#This Row],[DecDate]]^2</f>
        <v>3826425.015625</v>
      </c>
      <c r="E26">
        <v>1</v>
      </c>
      <c r="F26">
        <v>1114</v>
      </c>
      <c r="G26">
        <f>LN(_dat69[[#This Row],[Expenditure]])</f>
        <v>7.0157124204872297</v>
      </c>
      <c r="H26">
        <f>$P$40+_dat69[[#This Row],[DecDate]]*$P$41</f>
        <v>7.0349994625114327</v>
      </c>
      <c r="I26" s="2">
        <f>$P$17+$P$18*_dat69[[#This Row],[DecDate]]+$P$19*_dat69[[#This Row],[DecDate^2]]</f>
        <v>7.0080718807858204</v>
      </c>
      <c r="J26" s="2">
        <f>_dat69[[#This Row],[LOG(Expenditure 69)]]-_dat69[[#This Row],[Quadratic Trend LOG]]</f>
        <v>7.6405397014092102E-3</v>
      </c>
      <c r="K26" s="2">
        <f t="shared" si="0"/>
        <v>1.3889002668235052E-2</v>
      </c>
      <c r="O26" s="6" t="s">
        <v>10</v>
      </c>
      <c r="P26" s="6"/>
    </row>
    <row r="27" spans="1:23" x14ac:dyDescent="0.35">
      <c r="A27">
        <v>1956</v>
      </c>
      <c r="B27" s="1">
        <f>DATE(_dat69[[#This Row],[Year]],_dat69[[#This Row],[Quarter]]*3-1,15)</f>
        <v>20590</v>
      </c>
      <c r="C27" s="2">
        <f>_dat69[[#This Row],[Year]]+(_dat69[[#This Row],[Quarter]]-1)/4+1/8</f>
        <v>1956.375</v>
      </c>
      <c r="D27" s="2">
        <f>_dat69[[#This Row],[DecDate]]^2</f>
        <v>3827403.140625</v>
      </c>
      <c r="E27">
        <v>2</v>
      </c>
      <c r="F27">
        <v>1149</v>
      </c>
      <c r="G27">
        <f>LN(_dat69[[#This Row],[Expenditure]])</f>
        <v>7.0466472778487557</v>
      </c>
      <c r="H27">
        <f>$P$40+_dat69[[#This Row],[DecDate]]*$P$41</f>
        <v>7.0364272026391408</v>
      </c>
      <c r="I27" s="2">
        <f>$P$17+$P$18*_dat69[[#This Row],[DecDate]]+$P$19*_dat69[[#This Row],[DecDate^2]]</f>
        <v>7.0103889722365693</v>
      </c>
      <c r="J27" s="2">
        <f>_dat69[[#This Row],[LOG(Expenditure 69)]]-_dat69[[#This Row],[Quadratic Trend LOG]]</f>
        <v>3.6258305612186348E-2</v>
      </c>
      <c r="K27" s="2">
        <f t="shared" si="0"/>
        <v>6.3674901448347752E-3</v>
      </c>
      <c r="O27" s="3" t="s">
        <v>11</v>
      </c>
      <c r="P27" s="3">
        <v>0.94360971260049575</v>
      </c>
    </row>
    <row r="28" spans="1:23" x14ac:dyDescent="0.35">
      <c r="A28">
        <v>1956</v>
      </c>
      <c r="B28" s="1">
        <f>DATE(_dat69[[#This Row],[Year]],_dat69[[#This Row],[Quarter]]*3-1,15)</f>
        <v>20682</v>
      </c>
      <c r="C28" s="2">
        <f>_dat69[[#This Row],[Year]]+(_dat69[[#This Row],[Quarter]]-1)/4+1/8</f>
        <v>1956.625</v>
      </c>
      <c r="D28" s="2">
        <f>_dat69[[#This Row],[DecDate]]^2</f>
        <v>3828381.390625</v>
      </c>
      <c r="E28">
        <v>3</v>
      </c>
      <c r="F28">
        <v>1202</v>
      </c>
      <c r="G28">
        <f>LN(_dat69[[#This Row],[Expenditure]])</f>
        <v>7.091742115095153</v>
      </c>
      <c r="H28">
        <f>$P$40+_dat69[[#This Row],[DecDate]]*$P$41</f>
        <v>7.0378549427668489</v>
      </c>
      <c r="I28" s="2">
        <f>$P$17+$P$18*_dat69[[#This Row],[DecDate]]+$P$19*_dat69[[#This Row],[DecDate^2]]</f>
        <v>7.0126984623940132</v>
      </c>
      <c r="J28" s="2">
        <f>_dat69[[#This Row],[LOG(Expenditure 69)]]-_dat69[[#This Row],[Quadratic Trend LOG]]</f>
        <v>7.9043652701139777E-2</v>
      </c>
      <c r="K28" s="2">
        <f t="shared" si="0"/>
        <v>1.9355685100195075E-2</v>
      </c>
      <c r="O28" s="3" t="s">
        <v>12</v>
      </c>
      <c r="P28" s="3">
        <v>0.89039928971399018</v>
      </c>
    </row>
    <row r="29" spans="1:23" x14ac:dyDescent="0.35">
      <c r="A29">
        <v>1956</v>
      </c>
      <c r="B29" s="1">
        <f>DATE(_dat69[[#This Row],[Year]],_dat69[[#This Row],[Quarter]]*3-1,15)</f>
        <v>20774</v>
      </c>
      <c r="C29" s="2">
        <f>_dat69[[#This Row],[Year]]+(_dat69[[#This Row],[Quarter]]-1)/4+1/8</f>
        <v>1956.875</v>
      </c>
      <c r="D29" s="2">
        <f>_dat69[[#This Row],[DecDate]]^2</f>
        <v>3829359.765625</v>
      </c>
      <c r="E29">
        <v>4</v>
      </c>
      <c r="F29">
        <v>1100</v>
      </c>
      <c r="G29">
        <f>LN(_dat69[[#This Row],[Expenditure]])</f>
        <v>7.0030654587864616</v>
      </c>
      <c r="H29">
        <f>$P$40+_dat69[[#This Row],[DecDate]]*$P$41</f>
        <v>7.0392826828945552</v>
      </c>
      <c r="I29" s="2">
        <f>$P$17+$P$18*_dat69[[#This Row],[DecDate]]+$P$19*_dat69[[#This Row],[DecDate^2]]</f>
        <v>7.0150003512580099</v>
      </c>
      <c r="J29" s="2">
        <f>_dat69[[#This Row],[LOG(Expenditure 69)]]-_dat69[[#This Row],[Quadratic Trend LOG]]</f>
        <v>-1.1934892471548331E-2</v>
      </c>
      <c r="K29" s="2">
        <f t="shared" si="0"/>
        <v>1.6154109608780408E-2</v>
      </c>
      <c r="O29" s="3" t="s">
        <v>13</v>
      </c>
      <c r="P29" s="3">
        <v>0.89001063471297592</v>
      </c>
    </row>
    <row r="30" spans="1:23" x14ac:dyDescent="0.35">
      <c r="A30">
        <v>1957</v>
      </c>
      <c r="B30" s="1">
        <f>DATE(_dat69[[#This Row],[Year]],_dat69[[#This Row],[Quarter]]*3-1,15)</f>
        <v>20866</v>
      </c>
      <c r="C30" s="2">
        <f>_dat69[[#This Row],[Year]]+(_dat69[[#This Row],[Quarter]]-1)/4+1/8</f>
        <v>1957.125</v>
      </c>
      <c r="D30" s="2">
        <f>_dat69[[#This Row],[DecDate]]^2</f>
        <v>3830338.265625</v>
      </c>
      <c r="E30">
        <v>1</v>
      </c>
      <c r="F30">
        <v>1100</v>
      </c>
      <c r="G30">
        <f>LN(_dat69[[#This Row],[Expenditure]])</f>
        <v>7.0030654587864616</v>
      </c>
      <c r="H30">
        <f>$P$40+_dat69[[#This Row],[DecDate]]*$P$41</f>
        <v>7.0407104230222632</v>
      </c>
      <c r="I30" s="2">
        <f>$P$17+$P$18*_dat69[[#This Row],[DecDate]]+$P$19*_dat69[[#This Row],[DecDate^2]]</f>
        <v>7.0172946388286732</v>
      </c>
      <c r="J30" s="2">
        <f>_dat69[[#This Row],[LOG(Expenditure 69)]]-_dat69[[#This Row],[Quadratic Trend LOG]]</f>
        <v>-1.4229180042211631E-2</v>
      </c>
      <c r="K30" s="2">
        <f t="shared" si="0"/>
        <v>9.8157282082761196E-3</v>
      </c>
      <c r="O30" s="3" t="s">
        <v>14</v>
      </c>
      <c r="P30" s="3">
        <v>4.1211942798970974E-2</v>
      </c>
    </row>
    <row r="31" spans="1:23" ht="15" thickBot="1" x14ac:dyDescent="0.4">
      <c r="A31">
        <v>1957</v>
      </c>
      <c r="B31" s="1">
        <f>DATE(_dat69[[#This Row],[Year]],_dat69[[#This Row],[Quarter]]*3-1,15)</f>
        <v>20955</v>
      </c>
      <c r="C31" s="2">
        <f>_dat69[[#This Row],[Year]]+(_dat69[[#This Row],[Quarter]]-1)/4+1/8</f>
        <v>1957.375</v>
      </c>
      <c r="D31" s="2">
        <f>_dat69[[#This Row],[DecDate]]^2</f>
        <v>3831316.890625</v>
      </c>
      <c r="E31">
        <v>2</v>
      </c>
      <c r="F31">
        <v>1109</v>
      </c>
      <c r="G31">
        <f>LN(_dat69[[#This Row],[Expenditure]])</f>
        <v>7.0112139873503674</v>
      </c>
      <c r="H31">
        <f>$P$40+_dat69[[#This Row],[DecDate]]*$P$41</f>
        <v>7.0421381631499713</v>
      </c>
      <c r="I31" s="2">
        <f>$P$17+$P$18*_dat69[[#This Row],[DecDate]]+$P$19*_dat69[[#This Row],[DecDate^2]]</f>
        <v>7.0195813251060315</v>
      </c>
      <c r="J31" s="2">
        <f>_dat69[[#This Row],[LOG(Expenditure 69)]]-_dat69[[#This Row],[Quadratic Trend LOG]]</f>
        <v>-8.3673377556641171E-3</v>
      </c>
      <c r="K31" s="2">
        <f t="shared" si="0"/>
        <v>-1.7803311967780289E-2</v>
      </c>
      <c r="O31" s="4" t="s">
        <v>15</v>
      </c>
      <c r="P31" s="4">
        <v>284</v>
      </c>
    </row>
    <row r="32" spans="1:23" x14ac:dyDescent="0.35">
      <c r="A32">
        <v>1957</v>
      </c>
      <c r="B32" s="1">
        <f>DATE(_dat69[[#This Row],[Year]],_dat69[[#This Row],[Quarter]]*3-1,15)</f>
        <v>21047</v>
      </c>
      <c r="C32" s="2">
        <f>_dat69[[#This Row],[Year]]+(_dat69[[#This Row],[Quarter]]-1)/4+1/8</f>
        <v>1957.625</v>
      </c>
      <c r="D32" s="2">
        <f>_dat69[[#This Row],[DecDate]]^2</f>
        <v>3832295.640625</v>
      </c>
      <c r="E32">
        <v>3</v>
      </c>
      <c r="F32">
        <v>1126</v>
      </c>
      <c r="G32">
        <f>LN(_dat69[[#This Row],[Expenditure]])</f>
        <v>7.026426808699636</v>
      </c>
      <c r="H32">
        <f>$P$40+_dat69[[#This Row],[DecDate]]*$P$41</f>
        <v>7.0435659032776794</v>
      </c>
      <c r="I32" s="2">
        <f>$P$17+$P$18*_dat69[[#This Row],[DecDate]]+$P$19*_dat69[[#This Row],[DecDate^2]]</f>
        <v>7.0218604100899711</v>
      </c>
      <c r="J32" s="2">
        <f>_dat69[[#This Row],[LOG(Expenditure 69)]]-_dat69[[#This Row],[Quadratic Trend LOG]]</f>
        <v>4.5663986096649012E-3</v>
      </c>
      <c r="K32" s="2">
        <f t="shared" si="0"/>
        <v>-2.5239220382874093E-2</v>
      </c>
    </row>
    <row r="33" spans="1:23" ht="15" thickBot="1" x14ac:dyDescent="0.4">
      <c r="A33">
        <v>1957</v>
      </c>
      <c r="B33" s="1">
        <f>DATE(_dat69[[#This Row],[Year]],_dat69[[#This Row],[Quarter]]*3-1,15)</f>
        <v>21139</v>
      </c>
      <c r="C33" s="2">
        <f>_dat69[[#This Row],[Year]]+(_dat69[[#This Row],[Quarter]]-1)/4+1/8</f>
        <v>1957.875</v>
      </c>
      <c r="D33" s="2">
        <f>_dat69[[#This Row],[DecDate]]^2</f>
        <v>3833274.515625</v>
      </c>
      <c r="E33">
        <v>4</v>
      </c>
      <c r="F33">
        <v>1059</v>
      </c>
      <c r="G33">
        <f>LN(_dat69[[#This Row],[Expenditure]])</f>
        <v>6.9650803456014065</v>
      </c>
      <c r="H33">
        <f>$P$40+_dat69[[#This Row],[DecDate]]*$P$41</f>
        <v>7.0449936434053875</v>
      </c>
      <c r="I33" s="2">
        <f>$P$17+$P$18*_dat69[[#This Row],[DecDate]]+$P$19*_dat69[[#This Row],[DecDate^2]]</f>
        <v>7.0241318937805488</v>
      </c>
      <c r="J33" s="2">
        <f>_dat69[[#This Row],[LOG(Expenditure 69)]]-_dat69[[#This Row],[Quadratic Trend LOG]]</f>
        <v>-5.9051548179142266E-2</v>
      </c>
      <c r="K33" s="2">
        <f t="shared" si="0"/>
        <v>-2.8970564569802449E-2</v>
      </c>
      <c r="O33" t="s">
        <v>16</v>
      </c>
    </row>
    <row r="34" spans="1:23" x14ac:dyDescent="0.35">
      <c r="A34">
        <v>1958</v>
      </c>
      <c r="B34" s="1">
        <f>DATE(_dat69[[#This Row],[Year]],_dat69[[#This Row],[Quarter]]*3-1,15)</f>
        <v>21231</v>
      </c>
      <c r="C34" s="2">
        <f>_dat69[[#This Row],[Year]]+(_dat69[[#This Row],[Quarter]]-1)/4+1/8</f>
        <v>1958.125</v>
      </c>
      <c r="D34" s="2">
        <f>_dat69[[#This Row],[DecDate]]^2</f>
        <v>3834253.515625</v>
      </c>
      <c r="E34">
        <v>1</v>
      </c>
      <c r="F34">
        <v>1072</v>
      </c>
      <c r="G34">
        <f>LN(_dat69[[#This Row],[Expenditure]])</f>
        <v>6.9772813416307473</v>
      </c>
      <c r="H34">
        <f>$P$40+_dat69[[#This Row],[DecDate]]*$P$41</f>
        <v>7.0464213835330956</v>
      </c>
      <c r="I34" s="2">
        <f>$P$17+$P$18*_dat69[[#This Row],[DecDate]]+$P$19*_dat69[[#This Row],[DecDate^2]]</f>
        <v>7.0263957761777647</v>
      </c>
      <c r="J34" s="2">
        <f>_dat69[[#This Row],[LOG(Expenditure 69)]]-_dat69[[#This Row],[Quadratic Trend LOG]]</f>
        <v>-4.911443454701736E-2</v>
      </c>
      <c r="K34" s="2">
        <f t="shared" si="0"/>
        <v>-2.3279355023499804E-2</v>
      </c>
      <c r="O34" s="5"/>
      <c r="P34" s="5" t="s">
        <v>21</v>
      </c>
      <c r="Q34" s="5" t="s">
        <v>22</v>
      </c>
      <c r="R34" s="5" t="s">
        <v>23</v>
      </c>
      <c r="S34" s="5" t="s">
        <v>24</v>
      </c>
      <c r="T34" s="5" t="s">
        <v>25</v>
      </c>
    </row>
    <row r="35" spans="1:23" x14ac:dyDescent="0.35">
      <c r="A35">
        <v>1958</v>
      </c>
      <c r="B35" s="1">
        <f>DATE(_dat69[[#This Row],[Year]],_dat69[[#This Row],[Quarter]]*3-1,15)</f>
        <v>21320</v>
      </c>
      <c r="C35" s="2">
        <f>_dat69[[#This Row],[Year]]+(_dat69[[#This Row],[Quarter]]-1)/4+1/8</f>
        <v>1958.375</v>
      </c>
      <c r="D35" s="2">
        <f>_dat69[[#This Row],[DecDate]]^2</f>
        <v>3835232.640625</v>
      </c>
      <c r="E35">
        <v>2</v>
      </c>
      <c r="F35">
        <v>1092</v>
      </c>
      <c r="G35">
        <f>LN(_dat69[[#This Row],[Expenditure]])</f>
        <v>6.9957661563048505</v>
      </c>
      <c r="H35">
        <f>$P$40+_dat69[[#This Row],[DecDate]]*$P$41</f>
        <v>7.0478491236608019</v>
      </c>
      <c r="I35" s="2">
        <f>$P$17+$P$18*_dat69[[#This Row],[DecDate]]+$P$19*_dat69[[#This Row],[DecDate^2]]</f>
        <v>7.0286520572817039</v>
      </c>
      <c r="J35" s="2">
        <f>_dat69[[#This Row],[LOG(Expenditure 69)]]-_dat69[[#This Row],[Quadratic Trend LOG]]</f>
        <v>-3.2885900976853399E-2</v>
      </c>
      <c r="K35" s="2">
        <f t="shared" si="0"/>
        <v>-3.2953944672386014E-2</v>
      </c>
      <c r="O35" s="3" t="s">
        <v>17</v>
      </c>
      <c r="P35" s="3">
        <v>1</v>
      </c>
      <c r="Q35" s="3">
        <v>3.8910491912487775</v>
      </c>
      <c r="R35" s="3">
        <v>3.8910491912487775</v>
      </c>
      <c r="S35" s="3">
        <v>2290.9760260139142</v>
      </c>
      <c r="T35" s="3">
        <v>2.0660224939018714E-137</v>
      </c>
    </row>
    <row r="36" spans="1:23" x14ac:dyDescent="0.35">
      <c r="A36">
        <v>1958</v>
      </c>
      <c r="B36" s="1">
        <f>DATE(_dat69[[#This Row],[Year]],_dat69[[#This Row],[Quarter]]*3-1,15)</f>
        <v>21412</v>
      </c>
      <c r="C36" s="2">
        <f>_dat69[[#This Row],[Year]]+(_dat69[[#This Row],[Quarter]]-1)/4+1/8</f>
        <v>1958.625</v>
      </c>
      <c r="D36" s="2">
        <f>_dat69[[#This Row],[DecDate]]^2</f>
        <v>3836211.890625</v>
      </c>
      <c r="E36">
        <v>3</v>
      </c>
      <c r="F36">
        <v>1154</v>
      </c>
      <c r="G36">
        <f>LN(_dat69[[#This Row],[Expenditure]])</f>
        <v>7.0509894470680452</v>
      </c>
      <c r="H36">
        <f>$P$40+_dat69[[#This Row],[DecDate]]*$P$41</f>
        <v>7.0492768637885099</v>
      </c>
      <c r="I36" s="2">
        <f>$P$17+$P$18*_dat69[[#This Row],[DecDate]]+$P$19*_dat69[[#This Row],[DecDate^2]]</f>
        <v>7.0309007370921961</v>
      </c>
      <c r="J36" s="2">
        <f>_dat69[[#This Row],[LOG(Expenditure 69)]]-_dat69[[#This Row],[Quadratic Trend LOG]]</f>
        <v>2.0088709975849106E-2</v>
      </c>
      <c r="K36" s="2">
        <f t="shared" si="0"/>
        <v>-1.9063378227291317E-2</v>
      </c>
      <c r="O36" s="3" t="s">
        <v>18</v>
      </c>
      <c r="P36" s="3">
        <v>282</v>
      </c>
      <c r="Q36" s="3">
        <v>0.47895563265291491</v>
      </c>
      <c r="R36" s="3">
        <v>1.6984242292656557E-3</v>
      </c>
      <c r="S36" s="3"/>
      <c r="T36" s="3"/>
    </row>
    <row r="37" spans="1:23" ht="15" thickBot="1" x14ac:dyDescent="0.4">
      <c r="A37">
        <v>1958</v>
      </c>
      <c r="B37" s="1">
        <f>DATE(_dat69[[#This Row],[Year]],_dat69[[#This Row],[Quarter]]*3-1,15)</f>
        <v>21504</v>
      </c>
      <c r="C37" s="2">
        <f>_dat69[[#This Row],[Year]]+(_dat69[[#This Row],[Quarter]]-1)/4+1/8</f>
        <v>1958.875</v>
      </c>
      <c r="D37" s="2">
        <f>_dat69[[#This Row],[DecDate]]^2</f>
        <v>3837191.265625</v>
      </c>
      <c r="E37">
        <v>4</v>
      </c>
      <c r="F37">
        <v>1085</v>
      </c>
      <c r="G37">
        <f>LN(_dat69[[#This Row],[Expenditure]])</f>
        <v>6.9893352659745602</v>
      </c>
      <c r="H37">
        <f>$P$40+_dat69[[#This Row],[DecDate]]*$P$41</f>
        <v>7.050704603916218</v>
      </c>
      <c r="I37" s="2">
        <f>$P$17+$P$18*_dat69[[#This Row],[DecDate]]+$P$19*_dat69[[#This Row],[DecDate^2]]</f>
        <v>7.0331418156093264</v>
      </c>
      <c r="J37" s="2">
        <f>_dat69[[#This Row],[LOG(Expenditure 69)]]-_dat69[[#This Row],[Quadratic Trend LOG]]</f>
        <v>-4.3806549634766156E-2</v>
      </c>
      <c r="K37" s="2">
        <f t="shared" si="0"/>
        <v>-1.1653062142906734E-2</v>
      </c>
      <c r="O37" s="4" t="s">
        <v>19</v>
      </c>
      <c r="P37" s="4">
        <v>283</v>
      </c>
      <c r="Q37" s="4">
        <v>4.3700048239016924</v>
      </c>
      <c r="R37" s="4"/>
      <c r="S37" s="4"/>
      <c r="T37" s="4"/>
    </row>
    <row r="38" spans="1:23" ht="15" thickBot="1" x14ac:dyDescent="0.4">
      <c r="A38">
        <v>1959</v>
      </c>
      <c r="B38" s="1">
        <f>DATE(_dat69[[#This Row],[Year]],_dat69[[#This Row],[Quarter]]*3-1,15)</f>
        <v>21596</v>
      </c>
      <c r="C38" s="2">
        <f>_dat69[[#This Row],[Year]]+(_dat69[[#This Row],[Quarter]]-1)/4+1/8</f>
        <v>1959.125</v>
      </c>
      <c r="D38" s="2">
        <f>_dat69[[#This Row],[DecDate]]^2</f>
        <v>3838170.765625</v>
      </c>
      <c r="E38">
        <v>1</v>
      </c>
      <c r="F38">
        <v>1148</v>
      </c>
      <c r="G38">
        <f>LN(_dat69[[#This Row],[Expenditure]])</f>
        <v>7.0457765768795113</v>
      </c>
      <c r="H38">
        <f>$P$40+_dat69[[#This Row],[DecDate]]*$P$41</f>
        <v>7.0521323440439261</v>
      </c>
      <c r="I38" s="2">
        <f>$P$17+$P$18*_dat69[[#This Row],[DecDate]]+$P$19*_dat69[[#This Row],[DecDate^2]]</f>
        <v>7.0353752928331801</v>
      </c>
      <c r="J38" s="2">
        <f>_dat69[[#This Row],[LOG(Expenditure 69)]]-_dat69[[#This Row],[Quadratic Trend LOG]]</f>
        <v>1.0401284046331227E-2</v>
      </c>
      <c r="K38" s="2">
        <f t="shared" si="0"/>
        <v>-7.7544088877408157E-3</v>
      </c>
    </row>
    <row r="39" spans="1:23" x14ac:dyDescent="0.35">
      <c r="A39">
        <v>1959</v>
      </c>
      <c r="B39" s="1">
        <f>DATE(_dat69[[#This Row],[Year]],_dat69[[#This Row],[Quarter]]*3-1,15)</f>
        <v>21685</v>
      </c>
      <c r="C39" s="2">
        <f>_dat69[[#This Row],[Year]]+(_dat69[[#This Row],[Quarter]]-1)/4+1/8</f>
        <v>1959.375</v>
      </c>
      <c r="D39" s="2">
        <f>_dat69[[#This Row],[DecDate]]^2</f>
        <v>3839150.390625</v>
      </c>
      <c r="E39">
        <v>2</v>
      </c>
      <c r="F39">
        <v>1125</v>
      </c>
      <c r="G39">
        <f>LN(_dat69[[#This Row],[Expenditure]])</f>
        <v>7.0255383146385206</v>
      </c>
      <c r="H39">
        <f>$P$40+_dat69[[#This Row],[DecDate]]*$P$41</f>
        <v>7.0535600841716342</v>
      </c>
      <c r="I39" s="2">
        <f>$P$17+$P$18*_dat69[[#This Row],[DecDate]]+$P$19*_dat69[[#This Row],[DecDate^2]]</f>
        <v>7.0376011687636151</v>
      </c>
      <c r="J39" s="2">
        <f>_dat69[[#This Row],[LOG(Expenditure 69)]]-_dat69[[#This Row],[Quadratic Trend LOG]]</f>
        <v>-1.2062854125094447E-2</v>
      </c>
      <c r="K39" s="2">
        <f t="shared" si="0"/>
        <v>-8.2546485735196743E-3</v>
      </c>
      <c r="O39" s="5"/>
      <c r="P39" s="5" t="s">
        <v>26</v>
      </c>
      <c r="Q39" s="5" t="s">
        <v>14</v>
      </c>
      <c r="R39" s="5" t="s">
        <v>27</v>
      </c>
      <c r="S39" s="5" t="s">
        <v>28</v>
      </c>
      <c r="T39" s="5" t="s">
        <v>29</v>
      </c>
      <c r="U39" s="5" t="s">
        <v>30</v>
      </c>
      <c r="V39" s="5" t="s">
        <v>31</v>
      </c>
      <c r="W39" s="5" t="s">
        <v>32</v>
      </c>
    </row>
    <row r="40" spans="1:23" x14ac:dyDescent="0.35">
      <c r="A40">
        <v>1959</v>
      </c>
      <c r="B40" s="1">
        <f>DATE(_dat69[[#This Row],[Year]],_dat69[[#This Row],[Quarter]]*3-1,15)</f>
        <v>21777</v>
      </c>
      <c r="C40" s="2">
        <f>_dat69[[#This Row],[Year]]+(_dat69[[#This Row],[Quarter]]-1)/4+1/8</f>
        <v>1959.625</v>
      </c>
      <c r="D40" s="2">
        <f>_dat69[[#This Row],[DecDate]]^2</f>
        <v>3840130.140625</v>
      </c>
      <c r="E40">
        <v>3</v>
      </c>
      <c r="F40">
        <v>1126</v>
      </c>
      <c r="G40">
        <f>LN(_dat69[[#This Row],[Expenditure]])</f>
        <v>7.026426808699636</v>
      </c>
      <c r="H40">
        <f>$P$40+_dat69[[#This Row],[DecDate]]*$P$41</f>
        <v>7.0549878242993422</v>
      </c>
      <c r="I40" s="2">
        <f>$P$17+$P$18*_dat69[[#This Row],[DecDate]]+$P$19*_dat69[[#This Row],[DecDate^2]]</f>
        <v>7.0398194434006598</v>
      </c>
      <c r="J40" s="2">
        <f>_dat69[[#This Row],[LOG(Expenditure 69)]]-_dat69[[#This Row],[Quadratic Trend LOG]]</f>
        <v>-1.3392634701023809E-2</v>
      </c>
      <c r="K40" s="2">
        <f t="shared" si="0"/>
        <v>8.1697374655380628E-3</v>
      </c>
      <c r="O40" s="3" t="s">
        <v>20</v>
      </c>
      <c r="P40" s="3">
        <v>-4.1363531667380151</v>
      </c>
      <c r="Q40" s="3">
        <v>0.236914648495167</v>
      </c>
      <c r="R40" s="3">
        <v>-17.459254600807835</v>
      </c>
      <c r="S40" s="3">
        <v>8.7620732442882351E-47</v>
      </c>
      <c r="T40" s="3">
        <v>-4.6026987802389092</v>
      </c>
      <c r="U40" s="3">
        <v>-3.670007553237121</v>
      </c>
      <c r="V40" s="3">
        <v>-4.6026987802389092</v>
      </c>
      <c r="W40" s="3">
        <v>-3.670007553237121</v>
      </c>
    </row>
    <row r="41" spans="1:23" ht="15" thickBot="1" x14ac:dyDescent="0.4">
      <c r="A41">
        <v>1959</v>
      </c>
      <c r="B41" s="1">
        <f>DATE(_dat69[[#This Row],[Year]],_dat69[[#This Row],[Quarter]]*3-1,15)</f>
        <v>21869</v>
      </c>
      <c r="C41" s="2">
        <f>_dat69[[#This Row],[Year]]+(_dat69[[#This Row],[Quarter]]-1)/4+1/8</f>
        <v>1959.875</v>
      </c>
      <c r="D41" s="2">
        <f>_dat69[[#This Row],[DecDate]]^2</f>
        <v>3841110.015625</v>
      </c>
      <c r="E41">
        <v>4</v>
      </c>
      <c r="F41">
        <v>1164</v>
      </c>
      <c r="G41">
        <f>LN(_dat69[[#This Row],[Expenditure]])</f>
        <v>7.0596176282913827</v>
      </c>
      <c r="H41">
        <f>$P$40+_dat69[[#This Row],[DecDate]]*$P$41</f>
        <v>7.0564155644270485</v>
      </c>
      <c r="I41" s="2">
        <f>$P$17+$P$18*_dat69[[#This Row],[DecDate]]+$P$19*_dat69[[#This Row],[DecDate^2]]</f>
        <v>7.0420301167444279</v>
      </c>
      <c r="J41" s="2">
        <f>_dat69[[#This Row],[LOG(Expenditure 69)]]-_dat69[[#This Row],[Quadratic Trend LOG]]</f>
        <v>1.7587511546954815E-2</v>
      </c>
      <c r="K41" s="2">
        <f t="shared" si="0"/>
        <v>1.2640627667852478E-2</v>
      </c>
      <c r="O41" s="4" t="s">
        <v>33</v>
      </c>
      <c r="P41" s="4">
        <v>5.7109605108310807E-3</v>
      </c>
      <c r="Q41" s="4">
        <v>1.193160548000825E-4</v>
      </c>
      <c r="R41" s="4">
        <v>47.864141337894218</v>
      </c>
      <c r="S41" s="4">
        <v>2.0660224939018714E-137</v>
      </c>
      <c r="T41" s="4">
        <v>5.4760973686417708E-3</v>
      </c>
      <c r="U41" s="4">
        <v>5.9458236530203906E-3</v>
      </c>
      <c r="V41" s="4">
        <v>5.4760973686417708E-3</v>
      </c>
      <c r="W41" s="4">
        <v>5.9458236530203906E-3</v>
      </c>
    </row>
    <row r="42" spans="1:23" x14ac:dyDescent="0.35">
      <c r="A42">
        <v>1960</v>
      </c>
      <c r="B42" s="1">
        <f>DATE(_dat69[[#This Row],[Year]],_dat69[[#This Row],[Quarter]]*3-1,15)</f>
        <v>21961</v>
      </c>
      <c r="C42" s="2">
        <f>_dat69[[#This Row],[Year]]+(_dat69[[#This Row],[Quarter]]-1)/4+1/8</f>
        <v>1960.125</v>
      </c>
      <c r="D42" s="2">
        <f>_dat69[[#This Row],[DecDate]]^2</f>
        <v>3842090.015625</v>
      </c>
      <c r="E42">
        <v>1</v>
      </c>
      <c r="F42">
        <v>1191</v>
      </c>
      <c r="G42">
        <f>LN(_dat69[[#This Row],[Expenditure]])</f>
        <v>7.0825485693552999</v>
      </c>
      <c r="H42">
        <f>$P$40+_dat69[[#This Row],[DecDate]]*$P$41</f>
        <v>7.0578433045547566</v>
      </c>
      <c r="I42" s="2">
        <f>$P$17+$P$18*_dat69[[#This Row],[DecDate]]+$P$19*_dat69[[#This Row],[DecDate^2]]</f>
        <v>7.0442331887947773</v>
      </c>
      <c r="J42" s="2">
        <f>_dat69[[#This Row],[LOG(Expenditure 69)]]-_dat69[[#This Row],[Quadratic Trend LOG]]</f>
        <v>3.8315380560522527E-2</v>
      </c>
      <c r="K42" s="2">
        <f t="shared" si="0"/>
        <v>2.8770993322650717E-2</v>
      </c>
    </row>
    <row r="43" spans="1:23" x14ac:dyDescent="0.35">
      <c r="A43">
        <v>1960</v>
      </c>
      <c r="B43" s="1">
        <f>DATE(_dat69[[#This Row],[Year]],_dat69[[#This Row],[Quarter]]*3-1,15)</f>
        <v>22051</v>
      </c>
      <c r="C43" s="2">
        <f>_dat69[[#This Row],[Year]]+(_dat69[[#This Row],[Quarter]]-1)/4+1/8</f>
        <v>1960.375</v>
      </c>
      <c r="D43" s="2">
        <f>_dat69[[#This Row],[DecDate]]^2</f>
        <v>3843070.140625</v>
      </c>
      <c r="E43">
        <v>2</v>
      </c>
      <c r="F43">
        <v>1187</v>
      </c>
      <c r="G43">
        <f>LN(_dat69[[#This Row],[Expenditure]])</f>
        <v>7.0791843946096682</v>
      </c>
      <c r="H43">
        <f>$P$40+_dat69[[#This Row],[DecDate]]*$P$41</f>
        <v>7.0592710446824647</v>
      </c>
      <c r="I43" s="2">
        <f>$P$17+$P$18*_dat69[[#This Row],[DecDate]]+$P$19*_dat69[[#This Row],[DecDate^2]]</f>
        <v>7.0464286595517649</v>
      </c>
      <c r="J43" s="2">
        <f>_dat69[[#This Row],[LOG(Expenditure 69)]]-_dat69[[#This Row],[Quadratic Trend LOG]]</f>
        <v>3.2755735057903301E-2</v>
      </c>
      <c r="K43" s="2">
        <f t="shared" si="0"/>
        <v>3.6451933621390611E-2</v>
      </c>
    </row>
    <row r="44" spans="1:23" x14ac:dyDescent="0.35">
      <c r="A44">
        <v>1960</v>
      </c>
      <c r="B44" s="1">
        <f>DATE(_dat69[[#This Row],[Year]],_dat69[[#This Row],[Quarter]]*3-1,15)</f>
        <v>22143</v>
      </c>
      <c r="C44" s="2">
        <f>_dat69[[#This Row],[Year]]+(_dat69[[#This Row],[Quarter]]-1)/4+1/8</f>
        <v>1960.625</v>
      </c>
      <c r="D44" s="2">
        <f>_dat69[[#This Row],[DecDate]]^2</f>
        <v>3844050.390625</v>
      </c>
      <c r="E44">
        <v>3</v>
      </c>
      <c r="F44">
        <v>1233</v>
      </c>
      <c r="G44">
        <f>LN(_dat69[[#This Row],[Expenditure]])</f>
        <v>7.1172055031643442</v>
      </c>
      <c r="H44">
        <f>$P$40+_dat69[[#This Row],[DecDate]]*$P$41</f>
        <v>7.0606987848101728</v>
      </c>
      <c r="I44" s="2">
        <f>$P$17+$P$18*_dat69[[#This Row],[DecDate]]+$P$19*_dat69[[#This Row],[DecDate^2]]</f>
        <v>7.0486165290154474</v>
      </c>
      <c r="J44" s="2">
        <f>_dat69[[#This Row],[LOG(Expenditure 69)]]-_dat69[[#This Row],[Quadratic Trend LOG]]</f>
        <v>6.8588974148896753E-2</v>
      </c>
      <c r="K44" s="2">
        <f t="shared" si="0"/>
        <v>2.7270344590204231E-2</v>
      </c>
    </row>
    <row r="45" spans="1:23" x14ac:dyDescent="0.35">
      <c r="A45">
        <v>1960</v>
      </c>
      <c r="B45" s="1">
        <f>DATE(_dat69[[#This Row],[Year]],_dat69[[#This Row],[Quarter]]*3-1,15)</f>
        <v>22235</v>
      </c>
      <c r="C45" s="2">
        <f>_dat69[[#This Row],[Year]]+(_dat69[[#This Row],[Quarter]]-1)/4+1/8</f>
        <v>1960.875</v>
      </c>
      <c r="D45" s="2">
        <f>_dat69[[#This Row],[DecDate]]^2</f>
        <v>3845030.765625</v>
      </c>
      <c r="E45">
        <v>4</v>
      </c>
      <c r="F45">
        <v>1183</v>
      </c>
      <c r="G45">
        <f>LN(_dat69[[#This Row],[Expenditure]])</f>
        <v>7.0758088639783869</v>
      </c>
      <c r="H45">
        <f>$P$40+_dat69[[#This Row],[DecDate]]*$P$41</f>
        <v>7.0621265249378808</v>
      </c>
      <c r="I45" s="2">
        <f>$P$17+$P$18*_dat69[[#This Row],[DecDate]]+$P$19*_dat69[[#This Row],[DecDate^2]]</f>
        <v>7.0507967971857113</v>
      </c>
      <c r="J45" s="2">
        <f>_dat69[[#This Row],[LOG(Expenditure 69)]]-_dat69[[#This Row],[Quadratic Trend LOG]]</f>
        <v>2.5012066792675647E-2</v>
      </c>
      <c r="K45" s="2">
        <f t="shared" si="0"/>
        <v>2.2214762626460428E-2</v>
      </c>
    </row>
    <row r="46" spans="1:23" x14ac:dyDescent="0.35">
      <c r="A46">
        <v>1961</v>
      </c>
      <c r="B46" s="1">
        <f>DATE(_dat69[[#This Row],[Year]],_dat69[[#This Row],[Quarter]]*3-1,15)</f>
        <v>22327</v>
      </c>
      <c r="C46" s="2">
        <f>_dat69[[#This Row],[Year]]+(_dat69[[#This Row],[Quarter]]-1)/4+1/8</f>
        <v>1961.125</v>
      </c>
      <c r="D46" s="2">
        <f>_dat69[[#This Row],[DecDate]]^2</f>
        <v>3846011.265625</v>
      </c>
      <c r="E46">
        <v>1</v>
      </c>
      <c r="F46">
        <v>1124</v>
      </c>
      <c r="G46">
        <f>LN(_dat69[[#This Row],[Expenditure]])</f>
        <v>7.0246490304536362</v>
      </c>
      <c r="H46">
        <f>$P$40+_dat69[[#This Row],[DecDate]]*$P$41</f>
        <v>7.0635542650655889</v>
      </c>
      <c r="I46" s="2">
        <f>$P$17+$P$18*_dat69[[#This Row],[DecDate]]+$P$19*_dat69[[#This Row],[DecDate^2]]</f>
        <v>7.0529694640626133</v>
      </c>
      <c r="J46" s="2">
        <f>_dat69[[#This Row],[LOG(Expenditure 69)]]-_dat69[[#This Row],[Quadratic Trend LOG]]</f>
        <v>-2.8320433608977069E-2</v>
      </c>
      <c r="K46" s="2">
        <f t="shared" si="0"/>
        <v>1.6986009122009982E-2</v>
      </c>
    </row>
    <row r="47" spans="1:23" x14ac:dyDescent="0.35">
      <c r="A47">
        <v>1961</v>
      </c>
      <c r="B47" s="1">
        <f>DATE(_dat69[[#This Row],[Year]],_dat69[[#This Row],[Quarter]]*3-1,15)</f>
        <v>22416</v>
      </c>
      <c r="C47" s="2">
        <f>_dat69[[#This Row],[Year]]+(_dat69[[#This Row],[Quarter]]-1)/4+1/8</f>
        <v>1961.375</v>
      </c>
      <c r="D47" s="2">
        <f>_dat69[[#This Row],[DecDate]]^2</f>
        <v>3846991.890625</v>
      </c>
      <c r="E47">
        <v>2</v>
      </c>
      <c r="F47">
        <v>1174</v>
      </c>
      <c r="G47">
        <f>LN(_dat69[[#This Row],[Expenditure]])</f>
        <v>7.0681720003880422</v>
      </c>
      <c r="H47">
        <f>$P$40+_dat69[[#This Row],[DecDate]]*$P$41</f>
        <v>7.0649820051932952</v>
      </c>
      <c r="I47" s="2">
        <f>$P$17+$P$18*_dat69[[#This Row],[DecDate]]+$P$19*_dat69[[#This Row],[DecDate^2]]</f>
        <v>7.0551345296462387</v>
      </c>
      <c r="J47" s="2">
        <f>_dat69[[#This Row],[LOG(Expenditure 69)]]-_dat69[[#This Row],[Quadratic Trend LOG]]</f>
        <v>1.3037470741803503E-2</v>
      </c>
      <c r="K47" s="2">
        <f t="shared" si="0"/>
        <v>-1.1676893070762872E-2</v>
      </c>
    </row>
    <row r="48" spans="1:23" x14ac:dyDescent="0.35">
      <c r="A48">
        <v>1961</v>
      </c>
      <c r="B48" s="1">
        <f>DATE(_dat69[[#This Row],[Year]],_dat69[[#This Row],[Quarter]]*3-1,15)</f>
        <v>22508</v>
      </c>
      <c r="C48" s="2">
        <f>_dat69[[#This Row],[Year]]+(_dat69[[#This Row],[Quarter]]-1)/4+1/8</f>
        <v>1961.625</v>
      </c>
      <c r="D48" s="2">
        <f>_dat69[[#This Row],[DecDate]]^2</f>
        <v>3847972.640625</v>
      </c>
      <c r="E48">
        <v>3</v>
      </c>
      <c r="F48">
        <v>1169</v>
      </c>
      <c r="G48">
        <f>LN(_dat69[[#This Row],[Expenditure]])</f>
        <v>7.063903961472068</v>
      </c>
      <c r="H48">
        <f>$P$40+_dat69[[#This Row],[DecDate]]*$P$41</f>
        <v>7.0664097453210033</v>
      </c>
      <c r="I48" s="2">
        <f>$P$17+$P$18*_dat69[[#This Row],[DecDate]]+$P$19*_dat69[[#This Row],[DecDate^2]]</f>
        <v>7.0572919939364169</v>
      </c>
      <c r="J48" s="2">
        <f>_dat69[[#This Row],[LOG(Expenditure 69)]]-_dat69[[#This Row],[Quadratic Trend LOG]]</f>
        <v>6.6119675356510754E-3</v>
      </c>
      <c r="K48" s="2">
        <f t="shared" si="0"/>
        <v>-1.0980763001434291E-2</v>
      </c>
    </row>
    <row r="49" spans="1:11" x14ac:dyDescent="0.35">
      <c r="A49">
        <v>1961</v>
      </c>
      <c r="B49" s="1">
        <f>DATE(_dat69[[#This Row],[Year]],_dat69[[#This Row],[Quarter]]*3-1,15)</f>
        <v>22600</v>
      </c>
      <c r="C49" s="2">
        <f>_dat69[[#This Row],[Year]]+(_dat69[[#This Row],[Quarter]]-1)/4+1/8</f>
        <v>1961.875</v>
      </c>
      <c r="D49" s="2">
        <f>_dat69[[#This Row],[DecDate]]^2</f>
        <v>3848953.515625</v>
      </c>
      <c r="E49">
        <v>4</v>
      </c>
      <c r="F49">
        <v>1080</v>
      </c>
      <c r="G49">
        <f>LN(_dat69[[#This Row],[Expenditure]])</f>
        <v>6.9847163201182658</v>
      </c>
      <c r="H49">
        <f>$P$40+_dat69[[#This Row],[DecDate]]*$P$41</f>
        <v>7.0678374854487114</v>
      </c>
      <c r="I49" s="2">
        <f>$P$17+$P$18*_dat69[[#This Row],[DecDate]]+$P$19*_dat69[[#This Row],[DecDate^2]]</f>
        <v>7.0594418569332333</v>
      </c>
      <c r="J49" s="2">
        <f>_dat69[[#This Row],[LOG(Expenditure 69)]]-_dat69[[#This Row],[Quadratic Trend LOG]]</f>
        <v>-7.4725536814967519E-2</v>
      </c>
      <c r="K49" s="2">
        <f t="shared" si="0"/>
        <v>-1.1712180336392031E-2</v>
      </c>
    </row>
    <row r="50" spans="1:11" x14ac:dyDescent="0.35">
      <c r="A50">
        <v>1962</v>
      </c>
      <c r="B50" s="1">
        <f>DATE(_dat69[[#This Row],[Year]],_dat69[[#This Row],[Quarter]]*3-1,15)</f>
        <v>22692</v>
      </c>
      <c r="C50" s="2">
        <f>_dat69[[#This Row],[Year]]+(_dat69[[#This Row],[Quarter]]-1)/4+1/8</f>
        <v>1962.125</v>
      </c>
      <c r="D50" s="2">
        <f>_dat69[[#This Row],[DecDate]]^2</f>
        <v>3849934.515625</v>
      </c>
      <c r="E50">
        <v>1</v>
      </c>
      <c r="F50">
        <v>1200</v>
      </c>
      <c r="G50">
        <f>LN(_dat69[[#This Row],[Expenditure]])</f>
        <v>7.0900768357760917</v>
      </c>
      <c r="H50">
        <f>$P$40+_dat69[[#This Row],[DecDate]]*$P$41</f>
        <v>7.0692652255764195</v>
      </c>
      <c r="I50" s="2">
        <f>$P$17+$P$18*_dat69[[#This Row],[DecDate]]+$P$19*_dat69[[#This Row],[DecDate^2]]</f>
        <v>7.0615841186367732</v>
      </c>
      <c r="J50" s="2">
        <f>_dat69[[#This Row],[LOG(Expenditure 69)]]-_dat69[[#This Row],[Quadratic Trend LOG]]</f>
        <v>2.8492717139318557E-2</v>
      </c>
      <c r="K50" s="2">
        <f t="shared" si="0"/>
        <v>-1.097912824641778E-2</v>
      </c>
    </row>
    <row r="51" spans="1:11" x14ac:dyDescent="0.35">
      <c r="A51">
        <v>1962</v>
      </c>
      <c r="B51" s="1">
        <f>DATE(_dat69[[#This Row],[Year]],_dat69[[#This Row],[Quarter]]*3-1,15)</f>
        <v>22781</v>
      </c>
      <c r="C51" s="2">
        <f>_dat69[[#This Row],[Year]]+(_dat69[[#This Row],[Quarter]]-1)/4+1/8</f>
        <v>1962.375</v>
      </c>
      <c r="D51" s="2">
        <f>_dat69[[#This Row],[DecDate]]^2</f>
        <v>3850915.640625</v>
      </c>
      <c r="E51">
        <v>2</v>
      </c>
      <c r="F51">
        <v>1132</v>
      </c>
      <c r="G51">
        <f>LN(_dat69[[#This Row],[Expenditure]])</f>
        <v>7.0317412587631285</v>
      </c>
      <c r="H51">
        <f>$P$40+_dat69[[#This Row],[DecDate]]*$P$41</f>
        <v>7.0706929657041275</v>
      </c>
      <c r="I51" s="2">
        <f>$P$17+$P$18*_dat69[[#This Row],[DecDate]]+$P$19*_dat69[[#This Row],[DecDate^2]]</f>
        <v>7.0637187790468943</v>
      </c>
      <c r="J51" s="2">
        <f>_dat69[[#This Row],[LOG(Expenditure 69)]]-_dat69[[#This Row],[Quadratic Trend LOG]]</f>
        <v>-3.197752028376577E-2</v>
      </c>
      <c r="K51" s="2">
        <f t="shared" si="0"/>
        <v>-1.2089895635311976E-2</v>
      </c>
    </row>
    <row r="52" spans="1:11" x14ac:dyDescent="0.35">
      <c r="A52">
        <v>1962</v>
      </c>
      <c r="B52" s="1">
        <f>DATE(_dat69[[#This Row],[Year]],_dat69[[#This Row],[Quarter]]*3-1,15)</f>
        <v>22873</v>
      </c>
      <c r="C52" s="2">
        <f>_dat69[[#This Row],[Year]]+(_dat69[[#This Row],[Quarter]]-1)/4+1/8</f>
        <v>1962.625</v>
      </c>
      <c r="D52" s="2">
        <f>_dat69[[#This Row],[DecDate]]^2</f>
        <v>3851896.890625</v>
      </c>
      <c r="E52">
        <v>3</v>
      </c>
      <c r="F52">
        <v>1191</v>
      </c>
      <c r="G52">
        <f>LN(_dat69[[#This Row],[Expenditure]])</f>
        <v>7.0825485693552999</v>
      </c>
      <c r="H52">
        <f>$P$40+_dat69[[#This Row],[DecDate]]*$P$41</f>
        <v>7.0721207058318338</v>
      </c>
      <c r="I52" s="2">
        <f>$P$17+$P$18*_dat69[[#This Row],[DecDate]]+$P$19*_dat69[[#This Row],[DecDate^2]]</f>
        <v>7.0658458381636251</v>
      </c>
      <c r="J52" s="2">
        <f>_dat69[[#This Row],[LOG(Expenditure 69)]]-_dat69[[#This Row],[Quadratic Trend LOG]]</f>
        <v>1.6702731191674758E-2</v>
      </c>
      <c r="K52" s="2">
        <f t="shared" si="0"/>
        <v>4.1705443130487293E-3</v>
      </c>
    </row>
    <row r="53" spans="1:11" x14ac:dyDescent="0.35">
      <c r="A53">
        <v>1962</v>
      </c>
      <c r="B53" s="1">
        <f>DATE(_dat69[[#This Row],[Year]],_dat69[[#This Row],[Quarter]]*3-1,15)</f>
        <v>22965</v>
      </c>
      <c r="C53" s="2">
        <f>_dat69[[#This Row],[Year]]+(_dat69[[#This Row],[Quarter]]-1)/4+1/8</f>
        <v>1962.875</v>
      </c>
      <c r="D53" s="2">
        <f>_dat69[[#This Row],[DecDate]]^2</f>
        <v>3852878.265625</v>
      </c>
      <c r="E53">
        <v>4</v>
      </c>
      <c r="F53">
        <v>1175</v>
      </c>
      <c r="G53">
        <f>LN(_dat69[[#This Row],[Expenditure]])</f>
        <v>7.0690234265782594</v>
      </c>
      <c r="H53">
        <f>$P$40+_dat69[[#This Row],[DecDate]]*$P$41</f>
        <v>7.0735484459595419</v>
      </c>
      <c r="I53" s="2">
        <f>$P$17+$P$18*_dat69[[#This Row],[DecDate]]+$P$19*_dat69[[#This Row],[DecDate^2]]</f>
        <v>7.0679652959870793</v>
      </c>
      <c r="J53" s="2">
        <f>_dat69[[#This Row],[LOG(Expenditure 69)]]-_dat69[[#This Row],[Quadratic Trend LOG]]</f>
        <v>1.0581305911800953E-3</v>
      </c>
      <c r="K53" s="2">
        <f t="shared" si="0"/>
        <v>-3.0124751072122535E-3</v>
      </c>
    </row>
    <row r="54" spans="1:11" x14ac:dyDescent="0.35">
      <c r="A54">
        <v>1963</v>
      </c>
      <c r="B54" s="1">
        <f>DATE(_dat69[[#This Row],[Year]],_dat69[[#This Row],[Quarter]]*3-1,15)</f>
        <v>23057</v>
      </c>
      <c r="C54" s="2">
        <f>_dat69[[#This Row],[Year]]+(_dat69[[#This Row],[Quarter]]-1)/4+1/8</f>
        <v>1963.125</v>
      </c>
      <c r="D54" s="2">
        <f>_dat69[[#This Row],[DecDate]]^2</f>
        <v>3853859.765625</v>
      </c>
      <c r="E54">
        <v>1</v>
      </c>
      <c r="F54">
        <v>1184</v>
      </c>
      <c r="G54">
        <f>LN(_dat69[[#This Row],[Expenditure]])</f>
        <v>7.0766538154439509</v>
      </c>
      <c r="H54">
        <f>$P$40+_dat69[[#This Row],[DecDate]]*$P$41</f>
        <v>7.07497618608725</v>
      </c>
      <c r="I54" s="2">
        <f>$P$17+$P$18*_dat69[[#This Row],[DecDate]]+$P$19*_dat69[[#This Row],[DecDate^2]]</f>
        <v>7.0700771525171149</v>
      </c>
      <c r="J54" s="2">
        <f>_dat69[[#This Row],[LOG(Expenditure 69)]]-_dat69[[#This Row],[Quadratic Trend LOG]]</f>
        <v>6.5766629268360077E-3</v>
      </c>
      <c r="K54" s="2">
        <f t="shared" si="0"/>
        <v>6.2091723451883855E-3</v>
      </c>
    </row>
    <row r="55" spans="1:11" x14ac:dyDescent="0.35">
      <c r="A55">
        <v>1963</v>
      </c>
      <c r="B55" s="1">
        <f>DATE(_dat69[[#This Row],[Year]],_dat69[[#This Row],[Quarter]]*3-1,15)</f>
        <v>23146</v>
      </c>
      <c r="C55" s="2">
        <f>_dat69[[#This Row],[Year]]+(_dat69[[#This Row],[Quarter]]-1)/4+1/8</f>
        <v>1963.375</v>
      </c>
      <c r="D55" s="2">
        <f>_dat69[[#This Row],[DecDate]]^2</f>
        <v>3854841.390625</v>
      </c>
      <c r="E55">
        <v>2</v>
      </c>
      <c r="F55">
        <v>1170</v>
      </c>
      <c r="G55">
        <f>LN(_dat69[[#This Row],[Expenditure]])</f>
        <v>7.0647590277918022</v>
      </c>
      <c r="H55">
        <f>$P$40+_dat69[[#This Row],[DecDate]]*$P$41</f>
        <v>7.0764039262149581</v>
      </c>
      <c r="I55" s="2">
        <f>$P$17+$P$18*_dat69[[#This Row],[DecDate]]+$P$19*_dat69[[#This Row],[DecDate^2]]</f>
        <v>7.0721814077537886</v>
      </c>
      <c r="J55" s="2">
        <f>_dat69[[#This Row],[LOG(Expenditure 69)]]-_dat69[[#This Row],[Quadratic Trend LOG]]</f>
        <v>-7.4223799619863584E-3</v>
      </c>
      <c r="K55" s="2">
        <f t="shared" si="0"/>
        <v>-1.4906747362369899E-2</v>
      </c>
    </row>
    <row r="56" spans="1:11" x14ac:dyDescent="0.35">
      <c r="A56">
        <v>1963</v>
      </c>
      <c r="B56" s="1">
        <f>DATE(_dat69[[#This Row],[Year]],_dat69[[#This Row],[Quarter]]*3-1,15)</f>
        <v>23238</v>
      </c>
      <c r="C56" s="2">
        <f>_dat69[[#This Row],[Year]]+(_dat69[[#This Row],[Quarter]]-1)/4+1/8</f>
        <v>1963.625</v>
      </c>
      <c r="D56" s="2">
        <f>_dat69[[#This Row],[DecDate]]^2</f>
        <v>3855823.140625</v>
      </c>
      <c r="E56">
        <v>3</v>
      </c>
      <c r="F56">
        <v>1198</v>
      </c>
      <c r="G56">
        <f>LN(_dat69[[#This Row],[Expenditure]])</f>
        <v>7.0884087786753947</v>
      </c>
      <c r="H56">
        <f>$P$40+_dat69[[#This Row],[DecDate]]*$P$41</f>
        <v>7.0778316663426661</v>
      </c>
      <c r="I56" s="2">
        <f>$P$17+$P$18*_dat69[[#This Row],[DecDate]]+$P$19*_dat69[[#This Row],[DecDate^2]]</f>
        <v>7.0742780616971572</v>
      </c>
      <c r="J56" s="2">
        <f>_dat69[[#This Row],[LOG(Expenditure 69)]]-_dat69[[#This Row],[Quadratic Trend LOG]]</f>
        <v>1.4130716978237423E-2</v>
      </c>
      <c r="K56" s="2">
        <f t="shared" si="0"/>
        <v>-1.8369760164039482E-2</v>
      </c>
    </row>
    <row r="57" spans="1:11" x14ac:dyDescent="0.35">
      <c r="A57">
        <v>1963</v>
      </c>
      <c r="B57" s="1">
        <f>DATE(_dat69[[#This Row],[Year]],_dat69[[#This Row],[Quarter]]*3-1,15)</f>
        <v>23330</v>
      </c>
      <c r="C57" s="2">
        <f>_dat69[[#This Row],[Year]]+(_dat69[[#This Row],[Quarter]]-1)/4+1/8</f>
        <v>1963.875</v>
      </c>
      <c r="D57" s="2">
        <f>_dat69[[#This Row],[DecDate]]^2</f>
        <v>3856805.015625</v>
      </c>
      <c r="E57">
        <v>4</v>
      </c>
      <c r="F57">
        <v>1083</v>
      </c>
      <c r="G57">
        <f>LN(_dat69[[#This Row],[Expenditure]])</f>
        <v>6.9874902470009905</v>
      </c>
      <c r="H57">
        <f>$P$40+_dat69[[#This Row],[DecDate]]*$P$41</f>
        <v>7.0792594064703742</v>
      </c>
      <c r="I57" s="2">
        <f>$P$17+$P$18*_dat69[[#This Row],[DecDate]]+$P$19*_dat69[[#This Row],[DecDate^2]]</f>
        <v>7.0763671143471072</v>
      </c>
      <c r="J57" s="2">
        <f>_dat69[[#This Row],[LOG(Expenditure 69)]]-_dat69[[#This Row],[Quadratic Trend LOG]]</f>
        <v>-8.8876867346116661E-2</v>
      </c>
      <c r="K57" s="2">
        <f t="shared" si="0"/>
        <v>-1.316115416139052E-2</v>
      </c>
    </row>
    <row r="58" spans="1:11" x14ac:dyDescent="0.35">
      <c r="A58">
        <v>1964</v>
      </c>
      <c r="B58" s="1">
        <f>DATE(_dat69[[#This Row],[Year]],_dat69[[#This Row],[Quarter]]*3-1,15)</f>
        <v>23422</v>
      </c>
      <c r="C58" s="2">
        <f>_dat69[[#This Row],[Year]]+(_dat69[[#This Row],[Quarter]]-1)/4+1/8</f>
        <v>1964.125</v>
      </c>
      <c r="D58" s="2">
        <f>_dat69[[#This Row],[DecDate]]^2</f>
        <v>3857787.015625</v>
      </c>
      <c r="E58">
        <v>1</v>
      </c>
      <c r="F58">
        <v>1167</v>
      </c>
      <c r="G58">
        <f>LN(_dat69[[#This Row],[Expenditure]])</f>
        <v>7.0621916322865559</v>
      </c>
      <c r="H58">
        <f>$P$40+_dat69[[#This Row],[DecDate]]*$P$41</f>
        <v>7.0806871465980805</v>
      </c>
      <c r="I58" s="2">
        <f>$P$17+$P$18*_dat69[[#This Row],[DecDate]]+$P$19*_dat69[[#This Row],[DecDate^2]]</f>
        <v>7.0784485657037237</v>
      </c>
      <c r="J58" s="2">
        <f>_dat69[[#This Row],[LOG(Expenditure 69)]]-_dat69[[#This Row],[Quadratic Trend LOG]]</f>
        <v>-1.6256933417167829E-2</v>
      </c>
      <c r="K58" s="2">
        <f t="shared" si="0"/>
        <v>-6.709316254226572E-3</v>
      </c>
    </row>
    <row r="59" spans="1:11" x14ac:dyDescent="0.35">
      <c r="A59">
        <v>1964</v>
      </c>
      <c r="B59" s="1">
        <f>DATE(_dat69[[#This Row],[Year]],_dat69[[#This Row],[Quarter]]*3-1,15)</f>
        <v>23512</v>
      </c>
      <c r="C59" s="2">
        <f>_dat69[[#This Row],[Year]]+(_dat69[[#This Row],[Quarter]]-1)/4+1/8</f>
        <v>1964.375</v>
      </c>
      <c r="D59" s="2">
        <f>_dat69[[#This Row],[DecDate]]^2</f>
        <v>3858769.140625</v>
      </c>
      <c r="E59">
        <v>2</v>
      </c>
      <c r="F59">
        <v>1228</v>
      </c>
      <c r="G59">
        <f>LN(_dat69[[#This Row],[Expenditure]])</f>
        <v>7.1131421087070876</v>
      </c>
      <c r="H59">
        <f>$P$40+_dat69[[#This Row],[DecDate]]*$P$41</f>
        <v>7.0821148867257886</v>
      </c>
      <c r="I59" s="2">
        <f>$P$17+$P$18*_dat69[[#This Row],[DecDate]]+$P$19*_dat69[[#This Row],[DecDate^2]]</f>
        <v>7.0805224157670068</v>
      </c>
      <c r="J59" s="2">
        <f>_dat69[[#This Row],[LOG(Expenditure 69)]]-_dat69[[#This Row],[Quadratic Trend LOG]]</f>
        <v>3.2619692940080824E-2</v>
      </c>
      <c r="K59" s="2">
        <f t="shared" si="0"/>
        <v>-1.2830521974946052E-2</v>
      </c>
    </row>
    <row r="60" spans="1:11" x14ac:dyDescent="0.35">
      <c r="A60">
        <v>1964</v>
      </c>
      <c r="B60" s="1">
        <f>DATE(_dat69[[#This Row],[Year]],_dat69[[#This Row],[Quarter]]*3-1,15)</f>
        <v>23604</v>
      </c>
      <c r="C60" s="2">
        <f>_dat69[[#This Row],[Year]]+(_dat69[[#This Row],[Quarter]]-1)/4+1/8</f>
        <v>1964.625</v>
      </c>
      <c r="D60" s="2">
        <f>_dat69[[#This Row],[DecDate]]^2</f>
        <v>3859751.390625</v>
      </c>
      <c r="E60">
        <v>3</v>
      </c>
      <c r="F60">
        <v>1221</v>
      </c>
      <c r="G60">
        <f>LN(_dat69[[#This Row],[Expenditure]])</f>
        <v>7.1074254741107046</v>
      </c>
      <c r="H60">
        <f>$P$40+_dat69[[#This Row],[DecDate]]*$P$41</f>
        <v>7.0835426268534967</v>
      </c>
      <c r="I60" s="2">
        <f>$P$17+$P$18*_dat69[[#This Row],[DecDate]]+$P$19*_dat69[[#This Row],[DecDate^2]]</f>
        <v>7.0825886645368712</v>
      </c>
      <c r="J60" s="2">
        <f>_dat69[[#This Row],[LOG(Expenditure 69)]]-_dat69[[#This Row],[Quadratic Trend LOG]]</f>
        <v>2.4836809573833385E-2</v>
      </c>
      <c r="K60" s="2">
        <f t="shared" si="0"/>
        <v>1.2661798157093961E-2</v>
      </c>
    </row>
    <row r="61" spans="1:11" x14ac:dyDescent="0.35">
      <c r="A61">
        <v>1964</v>
      </c>
      <c r="B61" s="1">
        <f>DATE(_dat69[[#This Row],[Year]],_dat69[[#This Row],[Quarter]]*3-1,15)</f>
        <v>23696</v>
      </c>
      <c r="C61" s="2">
        <f>_dat69[[#This Row],[Year]]+(_dat69[[#This Row],[Quarter]]-1)/4+1/8</f>
        <v>1964.875</v>
      </c>
      <c r="D61" s="2">
        <f>_dat69[[#This Row],[DecDate]]^2</f>
        <v>3860733.765625</v>
      </c>
      <c r="E61">
        <v>4</v>
      </c>
      <c r="F61">
        <v>1174</v>
      </c>
      <c r="G61">
        <f>LN(_dat69[[#This Row],[Expenditure]])</f>
        <v>7.0681720003880422</v>
      </c>
      <c r="H61">
        <f>$P$40+_dat69[[#This Row],[DecDate]]*$P$41</f>
        <v>7.0849703669812047</v>
      </c>
      <c r="I61" s="2">
        <f>$P$17+$P$18*_dat69[[#This Row],[DecDate]]+$P$19*_dat69[[#This Row],[DecDate^2]]</f>
        <v>7.0846473120134021</v>
      </c>
      <c r="J61" s="2">
        <f>_dat69[[#This Row],[LOG(Expenditure 69)]]-_dat69[[#This Row],[Quadratic Trend LOG]]</f>
        <v>-1.6475311625359979E-2</v>
      </c>
      <c r="K61" s="2">
        <f t="shared" si="0"/>
        <v>8.5359488144248988E-3</v>
      </c>
    </row>
    <row r="62" spans="1:11" x14ac:dyDescent="0.35">
      <c r="A62">
        <v>1965</v>
      </c>
      <c r="B62" s="1">
        <f>DATE(_dat69[[#This Row],[Year]],_dat69[[#This Row],[Quarter]]*3-1,15)</f>
        <v>23788</v>
      </c>
      <c r="C62" s="2">
        <f>_dat69[[#This Row],[Year]]+(_dat69[[#This Row],[Quarter]]-1)/4+1/8</f>
        <v>1965.125</v>
      </c>
      <c r="D62" s="2">
        <f>_dat69[[#This Row],[DecDate]]^2</f>
        <v>3861716.265625</v>
      </c>
      <c r="E62">
        <v>1</v>
      </c>
      <c r="F62">
        <v>1243</v>
      </c>
      <c r="G62">
        <f>LN(_dat69[[#This Row],[Expenditure]])</f>
        <v>7.1252830915107115</v>
      </c>
      <c r="H62">
        <f>$P$40+_dat69[[#This Row],[DecDate]]*$P$41</f>
        <v>7.0863981071089128</v>
      </c>
      <c r="I62" s="2">
        <f>$P$17+$P$18*_dat69[[#This Row],[DecDate]]+$P$19*_dat69[[#This Row],[DecDate^2]]</f>
        <v>7.0866983581966281</v>
      </c>
      <c r="J62" s="2">
        <f>_dat69[[#This Row],[LOG(Expenditure 69)]]-_dat69[[#This Row],[Quadratic Trend LOG]]</f>
        <v>3.8584733314083408E-2</v>
      </c>
      <c r="K62" s="2">
        <f t="shared" si="0"/>
        <v>1.0675225128411547E-2</v>
      </c>
    </row>
    <row r="63" spans="1:11" x14ac:dyDescent="0.35">
      <c r="A63">
        <v>1965</v>
      </c>
      <c r="B63" s="1">
        <f>DATE(_dat69[[#This Row],[Year]],_dat69[[#This Row],[Quarter]]*3-1,15)</f>
        <v>23877</v>
      </c>
      <c r="C63" s="2">
        <f>_dat69[[#This Row],[Year]]+(_dat69[[#This Row],[Quarter]]-1)/4+1/8</f>
        <v>1965.375</v>
      </c>
      <c r="D63" s="2">
        <f>_dat69[[#This Row],[DecDate]]^2</f>
        <v>3862698.890625</v>
      </c>
      <c r="E63">
        <v>2</v>
      </c>
      <c r="F63">
        <v>1155</v>
      </c>
      <c r="G63">
        <f>LN(_dat69[[#This Row],[Expenditure]])</f>
        <v>7.0518556229558937</v>
      </c>
      <c r="H63">
        <f>$P$40+_dat69[[#This Row],[DecDate]]*$P$41</f>
        <v>7.0878258472366209</v>
      </c>
      <c r="I63" s="2">
        <f>$P$17+$P$18*_dat69[[#This Row],[DecDate]]+$P$19*_dat69[[#This Row],[DecDate^2]]</f>
        <v>7.0887418030864069</v>
      </c>
      <c r="J63" s="2">
        <f>_dat69[[#This Row],[LOG(Expenditure 69)]]-_dat69[[#This Row],[Quadratic Trend LOG]]</f>
        <v>-3.6886180130513146E-2</v>
      </c>
      <c r="K63" s="2">
        <f t="shared" si="0"/>
        <v>3.6563992875063176E-3</v>
      </c>
    </row>
    <row r="64" spans="1:11" x14ac:dyDescent="0.35">
      <c r="A64">
        <v>1965</v>
      </c>
      <c r="B64" s="1">
        <f>DATE(_dat69[[#This Row],[Year]],_dat69[[#This Row],[Quarter]]*3-1,15)</f>
        <v>23969</v>
      </c>
      <c r="C64" s="2">
        <f>_dat69[[#This Row],[Year]]+(_dat69[[#This Row],[Quarter]]-1)/4+1/8</f>
        <v>1965.625</v>
      </c>
      <c r="D64" s="2">
        <f>_dat69[[#This Row],[DecDate]]^2</f>
        <v>3863681.640625</v>
      </c>
      <c r="E64">
        <v>3</v>
      </c>
      <c r="F64">
        <v>1254</v>
      </c>
      <c r="G64">
        <f>LN(_dat69[[#This Row],[Expenditure]])</f>
        <v>7.1340937211928663</v>
      </c>
      <c r="H64">
        <f>$P$40+_dat69[[#This Row],[DecDate]]*$P$41</f>
        <v>7.0892535873643272</v>
      </c>
      <c r="I64" s="2">
        <f>$P$17+$P$18*_dat69[[#This Row],[DecDate]]+$P$19*_dat69[[#This Row],[DecDate^2]]</f>
        <v>7.0907776466828523</v>
      </c>
      <c r="J64" s="2">
        <f>_dat69[[#This Row],[LOG(Expenditure 69)]]-_dat69[[#This Row],[Quadratic Trend LOG]]</f>
        <v>4.3316074510014069E-2</v>
      </c>
      <c r="K64" s="2">
        <f t="shared" si="0"/>
        <v>1.272071265435688E-2</v>
      </c>
    </row>
    <row r="65" spans="1:11" x14ac:dyDescent="0.35">
      <c r="A65">
        <v>1965</v>
      </c>
      <c r="B65" s="1">
        <f>DATE(_dat69[[#This Row],[Year]],_dat69[[#This Row],[Quarter]]*3-1,15)</f>
        <v>24061</v>
      </c>
      <c r="C65" s="2">
        <f>_dat69[[#This Row],[Year]]+(_dat69[[#This Row],[Quarter]]-1)/4+1/8</f>
        <v>1965.875</v>
      </c>
      <c r="D65" s="2">
        <f>_dat69[[#This Row],[DecDate]]^2</f>
        <v>3864664.515625</v>
      </c>
      <c r="E65">
        <v>4</v>
      </c>
      <c r="F65">
        <v>1191</v>
      </c>
      <c r="G65">
        <f>LN(_dat69[[#This Row],[Expenditure]])</f>
        <v>7.0825485693552999</v>
      </c>
      <c r="H65">
        <f>$P$40+_dat69[[#This Row],[DecDate]]*$P$41</f>
        <v>7.0906813274920353</v>
      </c>
      <c r="I65" s="2">
        <f>$P$17+$P$18*_dat69[[#This Row],[DecDate]]+$P$19*_dat69[[#This Row],[DecDate^2]]</f>
        <v>7.0928058889859926</v>
      </c>
      <c r="J65" s="2">
        <f>_dat69[[#This Row],[LOG(Expenditure 69)]]-_dat69[[#This Row],[Quadratic Trend LOG]]</f>
        <v>-1.0257319630692763E-2</v>
      </c>
      <c r="K65" s="2">
        <f t="shared" si="0"/>
        <v>-1.4123423925141766E-3</v>
      </c>
    </row>
    <row r="66" spans="1:11" x14ac:dyDescent="0.35">
      <c r="A66">
        <v>1966</v>
      </c>
      <c r="B66" s="1">
        <f>DATE(_dat69[[#This Row],[Year]],_dat69[[#This Row],[Quarter]]*3-1,15)</f>
        <v>24153</v>
      </c>
      <c r="C66" s="2">
        <f>_dat69[[#This Row],[Year]]+(_dat69[[#This Row],[Quarter]]-1)/4+1/8</f>
        <v>1966.125</v>
      </c>
      <c r="D66" s="2">
        <f>_dat69[[#This Row],[DecDate]]^2</f>
        <v>3865647.515625</v>
      </c>
      <c r="E66">
        <v>1</v>
      </c>
      <c r="F66">
        <v>1241</v>
      </c>
      <c r="G66">
        <f>LN(_dat69[[#This Row],[Expenditure]])</f>
        <v>7.1236727852046071</v>
      </c>
      <c r="H66">
        <f>$P$40+_dat69[[#This Row],[DecDate]]*$P$41</f>
        <v>7.0921090676197434</v>
      </c>
      <c r="I66" s="2">
        <f>$P$17+$P$18*_dat69[[#This Row],[DecDate]]+$P$19*_dat69[[#This Row],[DecDate^2]]</f>
        <v>7.0948265299957143</v>
      </c>
      <c r="J66" s="2">
        <f>_dat69[[#This Row],[LOG(Expenditure 69)]]-_dat69[[#This Row],[Quadratic Trend LOG]]</f>
        <v>2.8846255208892835E-2</v>
      </c>
      <c r="K66" s="2">
        <f t="shared" si="0"/>
        <v>7.0247106040680404E-3</v>
      </c>
    </row>
    <row r="67" spans="1:11" x14ac:dyDescent="0.35">
      <c r="A67">
        <v>1966</v>
      </c>
      <c r="B67" s="1">
        <f>DATE(_dat69[[#This Row],[Year]],_dat69[[#This Row],[Quarter]]*3-1,15)</f>
        <v>24242</v>
      </c>
      <c r="C67" s="2">
        <f>_dat69[[#This Row],[Year]]+(_dat69[[#This Row],[Quarter]]-1)/4+1/8</f>
        <v>1966.375</v>
      </c>
      <c r="D67" s="2">
        <f>_dat69[[#This Row],[DecDate]]^2</f>
        <v>3866630.640625</v>
      </c>
      <c r="E67">
        <v>2</v>
      </c>
      <c r="F67">
        <v>1170</v>
      </c>
      <c r="G67">
        <f>LN(_dat69[[#This Row],[Expenditure]])</f>
        <v>7.0647590277918022</v>
      </c>
      <c r="H67">
        <f>$P$40+_dat69[[#This Row],[DecDate]]*$P$41</f>
        <v>7.0935368077474514</v>
      </c>
      <c r="I67" s="2">
        <f>$P$17+$P$18*_dat69[[#This Row],[DecDate]]+$P$19*_dat69[[#This Row],[DecDate^2]]</f>
        <v>7.0968395697120741</v>
      </c>
      <c r="J67" s="2">
        <f>_dat69[[#This Row],[LOG(Expenditure 69)]]-_dat69[[#This Row],[Quadratic Trend LOG]]</f>
        <v>-3.2080541920271877E-2</v>
      </c>
      <c r="K67" s="2">
        <f t="shared" si="0"/>
        <v>-9.8835476926112161E-3</v>
      </c>
    </row>
    <row r="68" spans="1:11" x14ac:dyDescent="0.35">
      <c r="A68">
        <v>1966</v>
      </c>
      <c r="B68" s="1">
        <f>DATE(_dat69[[#This Row],[Year]],_dat69[[#This Row],[Quarter]]*3-1,15)</f>
        <v>24334</v>
      </c>
      <c r="C68" s="2">
        <f>_dat69[[#This Row],[Year]]+(_dat69[[#This Row],[Quarter]]-1)/4+1/8</f>
        <v>1966.625</v>
      </c>
      <c r="D68" s="2">
        <f>_dat69[[#This Row],[DecDate]]^2</f>
        <v>3867613.890625</v>
      </c>
      <c r="E68">
        <v>3</v>
      </c>
      <c r="F68">
        <v>1217</v>
      </c>
      <c r="G68">
        <f>LN(_dat69[[#This Row],[Expenditure]])</f>
        <v>7.1041440929875268</v>
      </c>
      <c r="H68">
        <f>$P$40+_dat69[[#This Row],[DecDate]]*$P$41</f>
        <v>7.0949645478751595</v>
      </c>
      <c r="I68" s="2">
        <f>$P$17+$P$18*_dat69[[#This Row],[DecDate]]+$P$19*_dat69[[#This Row],[DecDate^2]]</f>
        <v>7.0988450081351289</v>
      </c>
      <c r="J68" s="2">
        <f>_dat69[[#This Row],[LOG(Expenditure 69)]]-_dat69[[#This Row],[Quadratic Trend LOG]]</f>
        <v>5.2990848523979395E-3</v>
      </c>
      <c r="K68" s="2">
        <f t="shared" si="0"/>
        <v>7.1577832523532338E-3</v>
      </c>
    </row>
    <row r="69" spans="1:11" x14ac:dyDescent="0.35">
      <c r="A69">
        <v>1966</v>
      </c>
      <c r="B69" s="1">
        <f>DATE(_dat69[[#This Row],[Year]],_dat69[[#This Row],[Quarter]]*3-1,15)</f>
        <v>24426</v>
      </c>
      <c r="C69" s="2">
        <f>_dat69[[#This Row],[Year]]+(_dat69[[#This Row],[Quarter]]-1)/4+1/8</f>
        <v>1966.875</v>
      </c>
      <c r="D69" s="2">
        <f>_dat69[[#This Row],[DecDate]]^2</f>
        <v>3868597.265625</v>
      </c>
      <c r="E69">
        <v>4</v>
      </c>
      <c r="F69">
        <v>1164</v>
      </c>
      <c r="G69">
        <f>LN(_dat69[[#This Row],[Expenditure]])</f>
        <v>7.0596176282913827</v>
      </c>
      <c r="H69">
        <f>$P$40+_dat69[[#This Row],[DecDate]]*$P$41</f>
        <v>7.0963922880028676</v>
      </c>
      <c r="I69" s="2">
        <f>$P$17+$P$18*_dat69[[#This Row],[DecDate]]+$P$19*_dat69[[#This Row],[DecDate^2]]</f>
        <v>7.1008428452647649</v>
      </c>
      <c r="J69" s="2">
        <f>_dat69[[#This Row],[LOG(Expenditure 69)]]-_dat69[[#This Row],[Quadratic Trend LOG]]</f>
        <v>-4.1225216973382217E-2</v>
      </c>
      <c r="K69" s="2">
        <f t="shared" ref="K69:K132" si="1">AVERAGE(J67:J71)</f>
        <v>1.3524084093936396E-2</v>
      </c>
    </row>
    <row r="70" spans="1:11" x14ac:dyDescent="0.35">
      <c r="A70">
        <v>1967</v>
      </c>
      <c r="B70" s="1">
        <f>DATE(_dat69[[#This Row],[Year]],_dat69[[#This Row],[Quarter]]*3-1,15)</f>
        <v>24518</v>
      </c>
      <c r="C70" s="2">
        <f>_dat69[[#This Row],[Year]]+(_dat69[[#This Row],[Quarter]]-1)/4+1/8</f>
        <v>1967.125</v>
      </c>
      <c r="D70" s="2">
        <f>_dat69[[#This Row],[DecDate]]^2</f>
        <v>3869580.765625</v>
      </c>
      <c r="E70">
        <v>1</v>
      </c>
      <c r="F70">
        <v>1310</v>
      </c>
      <c r="G70">
        <f>LN(_dat69[[#This Row],[Expenditure]])</f>
        <v>7.1777824161951971</v>
      </c>
      <c r="H70">
        <f>$P$40+_dat69[[#This Row],[DecDate]]*$P$41</f>
        <v>7.0978200281305739</v>
      </c>
      <c r="I70" s="2">
        <f>$P$17+$P$18*_dat69[[#This Row],[DecDate]]+$P$19*_dat69[[#This Row],[DecDate^2]]</f>
        <v>7.1028330811010676</v>
      </c>
      <c r="J70" s="2">
        <f>_dat69[[#This Row],[LOG(Expenditure 69)]]-_dat69[[#This Row],[Quadratic Trend LOG]]</f>
        <v>7.4949335094129488E-2</v>
      </c>
      <c r="K70" s="2">
        <f t="shared" si="1"/>
        <v>1.9903270244728155E-2</v>
      </c>
    </row>
    <row r="71" spans="1:11" x14ac:dyDescent="0.35">
      <c r="A71">
        <v>1967</v>
      </c>
      <c r="B71" s="1">
        <f>DATE(_dat69[[#This Row],[Year]],_dat69[[#This Row],[Quarter]]*3-1,15)</f>
        <v>24607</v>
      </c>
      <c r="C71" s="2">
        <f>_dat69[[#This Row],[Year]]+(_dat69[[#This Row],[Quarter]]-1)/4+1/8</f>
        <v>1967.375</v>
      </c>
      <c r="D71" s="2">
        <f>_dat69[[#This Row],[DecDate]]^2</f>
        <v>3870564.390625</v>
      </c>
      <c r="E71">
        <v>2</v>
      </c>
      <c r="F71">
        <v>1294</v>
      </c>
      <c r="G71">
        <f>LN(_dat69[[#This Row],[Expenditure]])</f>
        <v>7.1654934750608454</v>
      </c>
      <c r="H71">
        <f>$P$40+_dat69[[#This Row],[DecDate]]*$P$41</f>
        <v>7.099247768258282</v>
      </c>
      <c r="I71" s="2">
        <f>$P$17+$P$18*_dat69[[#This Row],[DecDate]]+$P$19*_dat69[[#This Row],[DecDate^2]]</f>
        <v>7.1048157156440368</v>
      </c>
      <c r="J71" s="2">
        <f>_dat69[[#This Row],[LOG(Expenditure 69)]]-_dat69[[#This Row],[Quadratic Trend LOG]]</f>
        <v>6.0677759416808641E-2</v>
      </c>
      <c r="K71" s="2">
        <f t="shared" si="1"/>
        <v>1.7097250430139609E-2</v>
      </c>
    </row>
    <row r="72" spans="1:11" x14ac:dyDescent="0.35">
      <c r="A72">
        <v>1967</v>
      </c>
      <c r="B72" s="1">
        <f>DATE(_dat69[[#This Row],[Year]],_dat69[[#This Row],[Quarter]]*3-1,15)</f>
        <v>24699</v>
      </c>
      <c r="C72" s="2">
        <f>_dat69[[#This Row],[Year]]+(_dat69[[#This Row],[Quarter]]-1)/4+1/8</f>
        <v>1967.625</v>
      </c>
      <c r="D72" s="2">
        <f>_dat69[[#This Row],[DecDate]]^2</f>
        <v>3871548.140625</v>
      </c>
      <c r="E72">
        <v>3</v>
      </c>
      <c r="F72">
        <v>1220</v>
      </c>
      <c r="G72">
        <f>LN(_dat69[[#This Row],[Expenditure]])</f>
        <v>7.1066061377273027</v>
      </c>
      <c r="H72">
        <f>$P$40+_dat69[[#This Row],[DecDate]]*$P$41</f>
        <v>7.10067550838599</v>
      </c>
      <c r="I72" s="2">
        <f>$P$17+$P$18*_dat69[[#This Row],[DecDate]]+$P$19*_dat69[[#This Row],[DecDate^2]]</f>
        <v>7.1067907488936157</v>
      </c>
      <c r="J72" s="2">
        <f>_dat69[[#This Row],[LOG(Expenditure 69)]]-_dat69[[#This Row],[Quadratic Trend LOG]]</f>
        <v>-1.8461116631307561E-4</v>
      </c>
      <c r="K72" s="2">
        <f t="shared" si="1"/>
        <v>2.1547114541303359E-2</v>
      </c>
    </row>
    <row r="73" spans="1:11" x14ac:dyDescent="0.35">
      <c r="A73">
        <v>1967</v>
      </c>
      <c r="B73" s="1">
        <f>DATE(_dat69[[#This Row],[Year]],_dat69[[#This Row],[Quarter]]*3-1,15)</f>
        <v>24791</v>
      </c>
      <c r="C73" s="2">
        <f>_dat69[[#This Row],[Year]]+(_dat69[[#This Row],[Quarter]]-1)/4+1/8</f>
        <v>1967.875</v>
      </c>
      <c r="D73" s="2">
        <f>_dat69[[#This Row],[DecDate]]^2</f>
        <v>3872532.015625</v>
      </c>
      <c r="E73">
        <v>4</v>
      </c>
      <c r="F73">
        <v>1212</v>
      </c>
      <c r="G73">
        <f>LN(_dat69[[#This Row],[Expenditure]])</f>
        <v>7.1000271666292596</v>
      </c>
      <c r="H73">
        <f>$P$40+_dat69[[#This Row],[DecDate]]*$P$41</f>
        <v>7.1021032485136981</v>
      </c>
      <c r="I73" s="2">
        <f>$P$17+$P$18*_dat69[[#This Row],[DecDate]]+$P$19*_dat69[[#This Row],[DecDate^2]]</f>
        <v>7.1087581808498044</v>
      </c>
      <c r="J73" s="2">
        <f>_dat69[[#This Row],[LOG(Expenditure 69)]]-_dat69[[#This Row],[Quadratic Trend LOG]]</f>
        <v>-8.731014220544786E-3</v>
      </c>
      <c r="K73" s="2">
        <f t="shared" si="1"/>
        <v>1.4320292126982537E-2</v>
      </c>
    </row>
    <row r="74" spans="1:11" x14ac:dyDescent="0.35">
      <c r="A74">
        <v>1968</v>
      </c>
      <c r="B74" s="1">
        <f>DATE(_dat69[[#This Row],[Year]],_dat69[[#This Row],[Quarter]]*3-1,15)</f>
        <v>24883</v>
      </c>
      <c r="C74" s="2">
        <f>_dat69[[#This Row],[Year]]+(_dat69[[#This Row],[Quarter]]-1)/4+1/8</f>
        <v>1968.125</v>
      </c>
      <c r="D74" s="2">
        <f>_dat69[[#This Row],[DecDate]]^2</f>
        <v>3873516.015625</v>
      </c>
      <c r="E74">
        <v>1</v>
      </c>
      <c r="F74">
        <v>1202</v>
      </c>
      <c r="G74">
        <f>LN(_dat69[[#This Row],[Expenditure]])</f>
        <v>7.091742115095153</v>
      </c>
      <c r="H74">
        <f>$P$40+_dat69[[#This Row],[DecDate]]*$P$41</f>
        <v>7.1035309886414062</v>
      </c>
      <c r="I74" s="2">
        <f>$P$17+$P$18*_dat69[[#This Row],[DecDate]]+$P$19*_dat69[[#This Row],[DecDate^2]]</f>
        <v>7.1107180115127164</v>
      </c>
      <c r="J74" s="2">
        <f>_dat69[[#This Row],[LOG(Expenditure 69)]]-_dat69[[#This Row],[Quadratic Trend LOG]]</f>
        <v>-1.8975896417563476E-2</v>
      </c>
      <c r="K74" s="2">
        <f t="shared" si="1"/>
        <v>5.7612767839669843E-3</v>
      </c>
    </row>
    <row r="75" spans="1:11" x14ac:dyDescent="0.35">
      <c r="A75">
        <v>1968</v>
      </c>
      <c r="B75" s="1">
        <f>DATE(_dat69[[#This Row],[Year]],_dat69[[#This Row],[Quarter]]*3-1,15)</f>
        <v>24973</v>
      </c>
      <c r="C75" s="2">
        <f>_dat69[[#This Row],[Year]]+(_dat69[[#This Row],[Quarter]]-1)/4+1/8</f>
        <v>1968.375</v>
      </c>
      <c r="D75" s="2">
        <f>_dat69[[#This Row],[DecDate]]^2</f>
        <v>3874500.140625</v>
      </c>
      <c r="E75">
        <v>2</v>
      </c>
      <c r="F75">
        <v>1276</v>
      </c>
      <c r="G75">
        <f>LN(_dat69[[#This Row],[Expenditure]])</f>
        <v>7.1514854639047352</v>
      </c>
      <c r="H75">
        <f>$P$40+_dat69[[#This Row],[DecDate]]*$P$41</f>
        <v>7.1049587287691143</v>
      </c>
      <c r="I75" s="2">
        <f>$P$17+$P$18*_dat69[[#This Row],[DecDate]]+$P$19*_dat69[[#This Row],[DecDate^2]]</f>
        <v>7.1126702408822098</v>
      </c>
      <c r="J75" s="2">
        <f>_dat69[[#This Row],[LOG(Expenditure 69)]]-_dat69[[#This Row],[Quadratic Trend LOG]]</f>
        <v>3.881522302252538E-2</v>
      </c>
      <c r="K75" s="2">
        <f t="shared" si="1"/>
        <v>6.7383105179100507E-3</v>
      </c>
    </row>
    <row r="76" spans="1:11" x14ac:dyDescent="0.35">
      <c r="A76">
        <v>1968</v>
      </c>
      <c r="B76" s="1">
        <f>DATE(_dat69[[#This Row],[Year]],_dat69[[#This Row],[Quarter]]*3-1,15)</f>
        <v>25065</v>
      </c>
      <c r="C76" s="2">
        <f>_dat69[[#This Row],[Year]]+(_dat69[[#This Row],[Quarter]]-1)/4+1/8</f>
        <v>1968.625</v>
      </c>
      <c r="D76" s="2">
        <f>_dat69[[#This Row],[DecDate]]^2</f>
        <v>3875484.390625</v>
      </c>
      <c r="E76">
        <v>3</v>
      </c>
      <c r="F76">
        <v>1252</v>
      </c>
      <c r="G76">
        <f>LN(_dat69[[#This Row],[Expenditure]])</f>
        <v>7.1324975516600437</v>
      </c>
      <c r="H76">
        <f>$P$40+_dat69[[#This Row],[DecDate]]*$P$41</f>
        <v>7.1063864688968206</v>
      </c>
      <c r="I76" s="2">
        <f>$P$17+$P$18*_dat69[[#This Row],[DecDate]]+$P$19*_dat69[[#This Row],[DecDate^2]]</f>
        <v>7.1146148689583129</v>
      </c>
      <c r="J76" s="2">
        <f>_dat69[[#This Row],[LOG(Expenditure 69)]]-_dat69[[#This Row],[Quadratic Trend LOG]]</f>
        <v>1.7882682701730879E-2</v>
      </c>
      <c r="K76" s="2">
        <f t="shared" si="1"/>
        <v>6.7641417303638818E-3</v>
      </c>
    </row>
    <row r="77" spans="1:11" x14ac:dyDescent="0.35">
      <c r="A77">
        <v>1968</v>
      </c>
      <c r="B77" s="1">
        <f>DATE(_dat69[[#This Row],[Year]],_dat69[[#This Row],[Quarter]]*3-1,15)</f>
        <v>25157</v>
      </c>
      <c r="C77" s="2">
        <f>_dat69[[#This Row],[Year]]+(_dat69[[#This Row],[Quarter]]-1)/4+1/8</f>
        <v>1968.875</v>
      </c>
      <c r="D77" s="2">
        <f>_dat69[[#This Row],[DecDate]]^2</f>
        <v>3876468.765625</v>
      </c>
      <c r="E77">
        <v>4</v>
      </c>
      <c r="F77">
        <v>1238</v>
      </c>
      <c r="G77">
        <f>LN(_dat69[[#This Row],[Expenditure]])</f>
        <v>7.1212524532445416</v>
      </c>
      <c r="H77">
        <f>$P$40+_dat69[[#This Row],[DecDate]]*$P$41</f>
        <v>7.1078142090245287</v>
      </c>
      <c r="I77" s="2">
        <f>$P$17+$P$18*_dat69[[#This Row],[DecDate]]+$P$19*_dat69[[#This Row],[DecDate^2]]</f>
        <v>7.1165518957411393</v>
      </c>
      <c r="J77" s="2">
        <f>_dat69[[#This Row],[LOG(Expenditure 69)]]-_dat69[[#This Row],[Quadratic Trend LOG]]</f>
        <v>4.7005575034022584E-3</v>
      </c>
      <c r="K77" s="2">
        <f t="shared" si="1"/>
        <v>1.2017431798037669E-2</v>
      </c>
    </row>
    <row r="78" spans="1:11" x14ac:dyDescent="0.35">
      <c r="A78">
        <v>1969</v>
      </c>
      <c r="B78" s="1">
        <f>DATE(_dat69[[#This Row],[Year]],_dat69[[#This Row],[Quarter]]*3-1,15)</f>
        <v>25249</v>
      </c>
      <c r="C78" s="2">
        <f>_dat69[[#This Row],[Year]]+(_dat69[[#This Row],[Quarter]]-1)/4+1/8</f>
        <v>1969.125</v>
      </c>
      <c r="D78" s="2">
        <f>_dat69[[#This Row],[DecDate]]^2</f>
        <v>3877453.265625</v>
      </c>
      <c r="E78">
        <v>1</v>
      </c>
      <c r="F78">
        <v>1224</v>
      </c>
      <c r="G78">
        <f>LN(_dat69[[#This Row],[Expenditure]])</f>
        <v>7.1098794630722715</v>
      </c>
      <c r="H78">
        <f>$P$40+_dat69[[#This Row],[DecDate]]*$P$41</f>
        <v>7.1092419491522367</v>
      </c>
      <c r="I78" s="2">
        <f>$P$17+$P$18*_dat69[[#This Row],[DecDate]]+$P$19*_dat69[[#This Row],[DecDate^2]]</f>
        <v>7.1184813212305471</v>
      </c>
      <c r="J78" s="2">
        <f>_dat69[[#This Row],[LOG(Expenditure 69)]]-_dat69[[#This Row],[Quadratic Trend LOG]]</f>
        <v>-8.6018581582756326E-3</v>
      </c>
      <c r="K78" s="2">
        <f t="shared" si="1"/>
        <v>1.6261335904712661E-2</v>
      </c>
    </row>
    <row r="79" spans="1:11" x14ac:dyDescent="0.35">
      <c r="A79">
        <v>1969</v>
      </c>
      <c r="B79" s="1">
        <f>DATE(_dat69[[#This Row],[Year]],_dat69[[#This Row],[Quarter]]*3-1,15)</f>
        <v>25338</v>
      </c>
      <c r="C79" s="2">
        <f>_dat69[[#This Row],[Year]]+(_dat69[[#This Row],[Quarter]]-1)/4+1/8</f>
        <v>1969.375</v>
      </c>
      <c r="D79" s="2">
        <f>_dat69[[#This Row],[DecDate]]^2</f>
        <v>3878437.890625</v>
      </c>
      <c r="E79">
        <v>2</v>
      </c>
      <c r="F79">
        <v>1246</v>
      </c>
      <c r="G79">
        <f>LN(_dat69[[#This Row],[Expenditure]])</f>
        <v>7.1276936993473985</v>
      </c>
      <c r="H79">
        <f>$P$40+_dat69[[#This Row],[DecDate]]*$P$41</f>
        <v>7.1106696892799448</v>
      </c>
      <c r="I79" s="2">
        <f>$P$17+$P$18*_dat69[[#This Row],[DecDate]]+$P$19*_dat69[[#This Row],[DecDate^2]]</f>
        <v>7.120403145426593</v>
      </c>
      <c r="J79" s="2">
        <f>_dat69[[#This Row],[LOG(Expenditure 69)]]-_dat69[[#This Row],[Quadratic Trend LOG]]</f>
        <v>7.2905539208054648E-3</v>
      </c>
      <c r="K79" s="2">
        <f t="shared" si="1"/>
        <v>1.0305490318811828E-2</v>
      </c>
    </row>
    <row r="80" spans="1:11" x14ac:dyDescent="0.35">
      <c r="A80">
        <v>1969</v>
      </c>
      <c r="B80" s="1">
        <f>DATE(_dat69[[#This Row],[Year]],_dat69[[#This Row],[Quarter]]*3-1,15)</f>
        <v>25430</v>
      </c>
      <c r="C80" s="2">
        <f>_dat69[[#This Row],[Year]]+(_dat69[[#This Row],[Quarter]]-1)/4+1/8</f>
        <v>1969.625</v>
      </c>
      <c r="D80" s="2">
        <f>_dat69[[#This Row],[DecDate]]^2</f>
        <v>3879422.640625</v>
      </c>
      <c r="E80">
        <v>3</v>
      </c>
      <c r="F80">
        <v>1316</v>
      </c>
      <c r="G80">
        <f>LN(_dat69[[#This Row],[Expenditure]])</f>
        <v>7.1823521118852627</v>
      </c>
      <c r="H80">
        <f>$P$40+_dat69[[#This Row],[DecDate]]*$P$41</f>
        <v>7.1120974294076529</v>
      </c>
      <c r="I80" s="2">
        <f>$P$17+$P$18*_dat69[[#This Row],[DecDate]]+$P$19*_dat69[[#This Row],[DecDate^2]]</f>
        <v>7.1223173683293624</v>
      </c>
      <c r="J80" s="2">
        <f>_dat69[[#This Row],[LOG(Expenditure 69)]]-_dat69[[#This Row],[Quadratic Trend LOG]]</f>
        <v>6.0034743555900327E-2</v>
      </c>
      <c r="K80" s="2">
        <f t="shared" si="1"/>
        <v>4.805189272424926E-3</v>
      </c>
    </row>
    <row r="81" spans="1:11" x14ac:dyDescent="0.35">
      <c r="A81">
        <v>1969</v>
      </c>
      <c r="B81" s="1">
        <f>DATE(_dat69[[#This Row],[Year]],_dat69[[#This Row],[Quarter]]*3-1,15)</f>
        <v>25522</v>
      </c>
      <c r="C81" s="2">
        <f>_dat69[[#This Row],[Year]]+(_dat69[[#This Row],[Quarter]]-1)/4+1/8</f>
        <v>1969.875</v>
      </c>
      <c r="D81" s="2">
        <f>_dat69[[#This Row],[DecDate]]^2</f>
        <v>3880407.515625</v>
      </c>
      <c r="E81">
        <v>4</v>
      </c>
      <c r="F81">
        <v>1227</v>
      </c>
      <c r="G81">
        <f>LN(_dat69[[#This Row],[Expenditure]])</f>
        <v>7.1123274447109113</v>
      </c>
      <c r="H81">
        <f>$P$40+_dat69[[#This Row],[DecDate]]*$P$41</f>
        <v>7.1135251695353592</v>
      </c>
      <c r="I81" s="2">
        <f>$P$17+$P$18*_dat69[[#This Row],[DecDate]]+$P$19*_dat69[[#This Row],[DecDate^2]]</f>
        <v>7.1242239899386846</v>
      </c>
      <c r="J81" s="2">
        <f>_dat69[[#This Row],[LOG(Expenditure 69)]]-_dat69[[#This Row],[Quadratic Trend LOG]]</f>
        <v>-1.1896545227773281E-2</v>
      </c>
      <c r="K81" s="2">
        <f t="shared" si="1"/>
        <v>-1.2286939458828528E-3</v>
      </c>
    </row>
    <row r="82" spans="1:11" x14ac:dyDescent="0.35">
      <c r="A82">
        <v>1970</v>
      </c>
      <c r="B82" s="1">
        <f>DATE(_dat69[[#This Row],[Year]],_dat69[[#This Row],[Quarter]]*3-1,15)</f>
        <v>25614</v>
      </c>
      <c r="C82" s="2">
        <f>_dat69[[#This Row],[Year]]+(_dat69[[#This Row],[Quarter]]-1)/4+1/8</f>
        <v>1970.125</v>
      </c>
      <c r="D82" s="2">
        <f>_dat69[[#This Row],[DecDate]]^2</f>
        <v>3881392.515625</v>
      </c>
      <c r="E82">
        <v>1</v>
      </c>
      <c r="F82">
        <v>1216</v>
      </c>
      <c r="G82">
        <f>LN(_dat69[[#This Row],[Expenditure]])</f>
        <v>7.1033220625261126</v>
      </c>
      <c r="H82">
        <f>$P$40+_dat69[[#This Row],[DecDate]]*$P$41</f>
        <v>7.1149529096630673</v>
      </c>
      <c r="I82" s="2">
        <f>$P$17+$P$18*_dat69[[#This Row],[DecDate]]+$P$19*_dat69[[#This Row],[DecDate^2]]</f>
        <v>7.1261230102546449</v>
      </c>
      <c r="J82" s="2">
        <f>_dat69[[#This Row],[LOG(Expenditure 69)]]-_dat69[[#This Row],[Quadratic Trend LOG]]</f>
        <v>-2.280094772853225E-2</v>
      </c>
      <c r="K82" s="2">
        <f t="shared" si="1"/>
        <v>8.8649786916342073E-3</v>
      </c>
    </row>
    <row r="83" spans="1:11" x14ac:dyDescent="0.35">
      <c r="A83">
        <v>1970</v>
      </c>
      <c r="B83" s="1">
        <f>DATE(_dat69[[#This Row],[Year]],_dat69[[#This Row],[Quarter]]*3-1,15)</f>
        <v>25703</v>
      </c>
      <c r="C83" s="2">
        <f>_dat69[[#This Row],[Year]]+(_dat69[[#This Row],[Quarter]]-1)/4+1/8</f>
        <v>1970.375</v>
      </c>
      <c r="D83" s="2">
        <f>_dat69[[#This Row],[DecDate]]^2</f>
        <v>3882377.640625</v>
      </c>
      <c r="E83">
        <v>2</v>
      </c>
      <c r="F83">
        <v>1199</v>
      </c>
      <c r="G83">
        <f>LN(_dat69[[#This Row],[Expenditure]])</f>
        <v>7.0892431550275141</v>
      </c>
      <c r="H83">
        <f>$P$40+_dat69[[#This Row],[DecDate]]*$P$41</f>
        <v>7.1163806497907753</v>
      </c>
      <c r="I83" s="2">
        <f>$P$17+$P$18*_dat69[[#This Row],[DecDate]]+$P$19*_dat69[[#This Row],[DecDate^2]]</f>
        <v>7.1280144292773286</v>
      </c>
      <c r="J83" s="2">
        <f>_dat69[[#This Row],[LOG(Expenditure 69)]]-_dat69[[#This Row],[Quadratic Trend LOG]]</f>
        <v>-3.8771274249814525E-2</v>
      </c>
      <c r="K83" s="2">
        <f t="shared" si="1"/>
        <v>8.3366849760249558E-3</v>
      </c>
    </row>
    <row r="84" spans="1:11" x14ac:dyDescent="0.35">
      <c r="A84">
        <v>1970</v>
      </c>
      <c r="B84" s="1">
        <f>DATE(_dat69[[#This Row],[Year]],_dat69[[#This Row],[Quarter]]*3-1,15)</f>
        <v>25795</v>
      </c>
      <c r="C84" s="2">
        <f>_dat69[[#This Row],[Year]]+(_dat69[[#This Row],[Quarter]]-1)/4+1/8</f>
        <v>1970.625</v>
      </c>
      <c r="D84" s="2">
        <f>_dat69[[#This Row],[DecDate]]^2</f>
        <v>3883362.890625</v>
      </c>
      <c r="E84">
        <v>3</v>
      </c>
      <c r="F84">
        <v>1323</v>
      </c>
      <c r="G84">
        <f>LN(_dat69[[#This Row],[Expenditure]])</f>
        <v>7.187657164114956</v>
      </c>
      <c r="H84">
        <f>$P$40+_dat69[[#This Row],[DecDate]]*$P$41</f>
        <v>7.1178083899184834</v>
      </c>
      <c r="I84" s="2">
        <f>$P$17+$P$18*_dat69[[#This Row],[DecDate]]+$P$19*_dat69[[#This Row],[DecDate^2]]</f>
        <v>7.1298982470065653</v>
      </c>
      <c r="J84" s="2">
        <f>_dat69[[#This Row],[LOG(Expenditure 69)]]-_dat69[[#This Row],[Quadratic Trend LOG]]</f>
        <v>5.7758917108390762E-2</v>
      </c>
      <c r="K84" s="2">
        <f t="shared" si="1"/>
        <v>1.0806122543139552E-2</v>
      </c>
    </row>
    <row r="85" spans="1:11" x14ac:dyDescent="0.35">
      <c r="A85">
        <v>1970</v>
      </c>
      <c r="B85" s="1">
        <f>DATE(_dat69[[#This Row],[Year]],_dat69[[#This Row],[Quarter]]*3-1,15)</f>
        <v>25887</v>
      </c>
      <c r="C85" s="2">
        <f>_dat69[[#This Row],[Year]]+(_dat69[[#This Row],[Quarter]]-1)/4+1/8</f>
        <v>1970.875</v>
      </c>
      <c r="D85" s="2">
        <f>_dat69[[#This Row],[DecDate]]^2</f>
        <v>3884348.265625</v>
      </c>
      <c r="E85">
        <v>4</v>
      </c>
      <c r="F85">
        <v>1325</v>
      </c>
      <c r="G85">
        <f>LN(_dat69[[#This Row],[Expenditure]])</f>
        <v>7.1891677384203225</v>
      </c>
      <c r="H85">
        <f>$P$40+_dat69[[#This Row],[DecDate]]*$P$41</f>
        <v>7.1192361300461915</v>
      </c>
      <c r="I85" s="2">
        <f>$P$17+$P$18*_dat69[[#This Row],[DecDate]]+$P$19*_dat69[[#This Row],[DecDate^2]]</f>
        <v>7.1317744634424685</v>
      </c>
      <c r="J85" s="2">
        <f>_dat69[[#This Row],[LOG(Expenditure 69)]]-_dat69[[#This Row],[Quadratic Trend LOG]]</f>
        <v>5.739327497785407E-2</v>
      </c>
      <c r="K85" s="2">
        <f t="shared" si="1"/>
        <v>1.396468273800977E-2</v>
      </c>
    </row>
    <row r="86" spans="1:11" x14ac:dyDescent="0.35">
      <c r="A86">
        <v>1971</v>
      </c>
      <c r="B86" s="1">
        <f>DATE(_dat69[[#This Row],[Year]],_dat69[[#This Row],[Quarter]]*3-1,15)</f>
        <v>25979</v>
      </c>
      <c r="C86" s="2">
        <f>_dat69[[#This Row],[Year]]+(_dat69[[#This Row],[Quarter]]-1)/4+1/8</f>
        <v>1971.125</v>
      </c>
      <c r="D86" s="2">
        <f>_dat69[[#This Row],[DecDate]]^2</f>
        <v>3885333.765625</v>
      </c>
      <c r="E86">
        <v>1</v>
      </c>
      <c r="F86">
        <v>1254</v>
      </c>
      <c r="G86">
        <f>LN(_dat69[[#This Row],[Expenditure]])</f>
        <v>7.1340937211928663</v>
      </c>
      <c r="H86">
        <f>$P$40+_dat69[[#This Row],[DecDate]]*$P$41</f>
        <v>7.1206638701738996</v>
      </c>
      <c r="I86" s="2">
        <f>$P$17+$P$18*_dat69[[#This Row],[DecDate]]+$P$19*_dat69[[#This Row],[DecDate^2]]</f>
        <v>7.1336430785850666</v>
      </c>
      <c r="J86" s="2">
        <f>_dat69[[#This Row],[LOG(Expenditure 69)]]-_dat69[[#This Row],[Quadratic Trend LOG]]</f>
        <v>4.5064260779970056E-4</v>
      </c>
      <c r="K86" s="2">
        <f t="shared" si="1"/>
        <v>2.0106946375840273E-2</v>
      </c>
    </row>
    <row r="87" spans="1:11" x14ac:dyDescent="0.35">
      <c r="A87">
        <v>1971</v>
      </c>
      <c r="B87" s="1">
        <f>DATE(_dat69[[#This Row],[Year]],_dat69[[#This Row],[Quarter]]*3-1,15)</f>
        <v>26068</v>
      </c>
      <c r="C87" s="2">
        <f>_dat69[[#This Row],[Year]]+(_dat69[[#This Row],[Quarter]]-1)/4+1/8</f>
        <v>1971.375</v>
      </c>
      <c r="D87" s="2">
        <f>_dat69[[#This Row],[DecDate]]^2</f>
        <v>3886319.390625</v>
      </c>
      <c r="E87">
        <v>2</v>
      </c>
      <c r="F87">
        <v>1247</v>
      </c>
      <c r="G87">
        <f>LN(_dat69[[#This Row],[Expenditure]])</f>
        <v>7.1284959456800365</v>
      </c>
      <c r="H87">
        <f>$P$40+_dat69[[#This Row],[DecDate]]*$P$41</f>
        <v>7.1220916103016059</v>
      </c>
      <c r="I87" s="2">
        <f>$P$17+$P$18*_dat69[[#This Row],[DecDate]]+$P$19*_dat69[[#This Row],[DecDate^2]]</f>
        <v>7.1355040924342177</v>
      </c>
      <c r="J87" s="2">
        <f>_dat69[[#This Row],[LOG(Expenditure 69)]]-_dat69[[#This Row],[Quadratic Trend LOG]]</f>
        <v>-7.0081467541811548E-3</v>
      </c>
      <c r="K87" s="2">
        <f t="shared" si="1"/>
        <v>1.08547912221578E-2</v>
      </c>
    </row>
    <row r="88" spans="1:11" x14ac:dyDescent="0.35">
      <c r="A88">
        <v>1971</v>
      </c>
      <c r="B88" s="1">
        <f>DATE(_dat69[[#This Row],[Year]],_dat69[[#This Row],[Quarter]]*3-1,15)</f>
        <v>26160</v>
      </c>
      <c r="C88" s="2">
        <f>_dat69[[#This Row],[Year]]+(_dat69[[#This Row],[Quarter]]-1)/4+1/8</f>
        <v>1971.625</v>
      </c>
      <c r="D88" s="2">
        <f>_dat69[[#This Row],[DecDate]]^2</f>
        <v>3887305.140625</v>
      </c>
      <c r="E88">
        <v>3</v>
      </c>
      <c r="F88">
        <v>1248</v>
      </c>
      <c r="G88">
        <f>LN(_dat69[[#This Row],[Expenditure]])</f>
        <v>7.1292975489293733</v>
      </c>
      <c r="H88">
        <f>$P$40+_dat69[[#This Row],[DecDate]]*$P$41</f>
        <v>7.1235193504293139</v>
      </c>
      <c r="I88" s="2">
        <f>$P$17+$P$18*_dat69[[#This Row],[DecDate]]+$P$19*_dat69[[#This Row],[DecDate^2]]</f>
        <v>7.1373575049900353</v>
      </c>
      <c r="J88" s="2">
        <f>_dat69[[#This Row],[LOG(Expenditure 69)]]-_dat69[[#This Row],[Quadratic Trend LOG]]</f>
        <v>-8.0599560606620102E-3</v>
      </c>
      <c r="K88" s="2">
        <f t="shared" si="1"/>
        <v>-4.5816783688330531E-3</v>
      </c>
    </row>
    <row r="89" spans="1:11" x14ac:dyDescent="0.35">
      <c r="A89">
        <v>1971</v>
      </c>
      <c r="B89" s="1">
        <f>DATE(_dat69[[#This Row],[Year]],_dat69[[#This Row],[Quarter]]*3-1,15)</f>
        <v>26252</v>
      </c>
      <c r="C89" s="2">
        <f>_dat69[[#This Row],[Year]]+(_dat69[[#This Row],[Quarter]]-1)/4+1/8</f>
        <v>1971.875</v>
      </c>
      <c r="D89" s="2">
        <f>_dat69[[#This Row],[DecDate]]^2</f>
        <v>3888291.015625</v>
      </c>
      <c r="E89">
        <v>4</v>
      </c>
      <c r="F89">
        <v>1275</v>
      </c>
      <c r="G89">
        <f>LN(_dat69[[#This Row],[Expenditure]])</f>
        <v>7.1507014575925263</v>
      </c>
      <c r="H89">
        <f>$P$40+_dat69[[#This Row],[DecDate]]*$P$41</f>
        <v>7.124947090557022</v>
      </c>
      <c r="I89" s="2">
        <f>$P$17+$P$18*_dat69[[#This Row],[DecDate]]+$P$19*_dat69[[#This Row],[DecDate^2]]</f>
        <v>7.1392033162525479</v>
      </c>
      <c r="J89" s="2">
        <f>_dat69[[#This Row],[LOG(Expenditure 69)]]-_dat69[[#This Row],[Quadratic Trend LOG]]</f>
        <v>1.1498141339978396E-2</v>
      </c>
      <c r="K89" s="2">
        <f t="shared" si="1"/>
        <v>-1.5898646967758091E-2</v>
      </c>
    </row>
    <row r="90" spans="1:11" x14ac:dyDescent="0.35">
      <c r="A90">
        <v>1972</v>
      </c>
      <c r="B90" s="1">
        <f>DATE(_dat69[[#This Row],[Year]],_dat69[[#This Row],[Quarter]]*3-1,15)</f>
        <v>26344</v>
      </c>
      <c r="C90" s="2">
        <f>_dat69[[#This Row],[Year]]+(_dat69[[#This Row],[Quarter]]-1)/4+1/8</f>
        <v>1972.125</v>
      </c>
      <c r="D90" s="2">
        <f>_dat69[[#This Row],[DecDate]]^2</f>
        <v>3889277.015625</v>
      </c>
      <c r="E90">
        <v>1</v>
      </c>
      <c r="F90">
        <v>1238</v>
      </c>
      <c r="G90">
        <f>LN(_dat69[[#This Row],[Expenditure]])</f>
        <v>7.1212524532445416</v>
      </c>
      <c r="H90">
        <f>$P$40+_dat69[[#This Row],[DecDate]]*$P$41</f>
        <v>7.1263748306847301</v>
      </c>
      <c r="I90" s="2">
        <f>$P$17+$P$18*_dat69[[#This Row],[DecDate]]+$P$19*_dat69[[#This Row],[DecDate^2]]</f>
        <v>7.1410415262216418</v>
      </c>
      <c r="J90" s="2">
        <f>_dat69[[#This Row],[LOG(Expenditure 69)]]-_dat69[[#This Row],[Quadratic Trend LOG]]</f>
        <v>-1.9789072977100197E-2</v>
      </c>
      <c r="K90" s="2">
        <f t="shared" si="1"/>
        <v>-1.9024069747059259E-2</v>
      </c>
    </row>
    <row r="91" spans="1:11" x14ac:dyDescent="0.35">
      <c r="A91">
        <v>1972</v>
      </c>
      <c r="B91" s="1">
        <f>DATE(_dat69[[#This Row],[Year]],_dat69[[#This Row],[Quarter]]*3-1,15)</f>
        <v>26434</v>
      </c>
      <c r="C91" s="2">
        <f>_dat69[[#This Row],[Year]]+(_dat69[[#This Row],[Quarter]]-1)/4+1/8</f>
        <v>1972.375</v>
      </c>
      <c r="D91" s="2">
        <f>_dat69[[#This Row],[DecDate]]^2</f>
        <v>3890263.140625</v>
      </c>
      <c r="E91">
        <v>2</v>
      </c>
      <c r="F91">
        <v>1196</v>
      </c>
      <c r="G91">
        <f>LN(_dat69[[#This Row],[Expenditure]])</f>
        <v>7.0867379345105768</v>
      </c>
      <c r="H91">
        <f>$P$40+_dat69[[#This Row],[DecDate]]*$P$41</f>
        <v>7.1278025708124382</v>
      </c>
      <c r="I91" s="2">
        <f>$P$17+$P$18*_dat69[[#This Row],[DecDate]]+$P$19*_dat69[[#This Row],[DecDate^2]]</f>
        <v>7.1428721348974022</v>
      </c>
      <c r="J91" s="2">
        <f>_dat69[[#This Row],[LOG(Expenditure 69)]]-_dat69[[#This Row],[Quadratic Trend LOG]]</f>
        <v>-5.6134200386825484E-2</v>
      </c>
      <c r="K91" s="2">
        <f t="shared" si="1"/>
        <v>-2.7867219023743318E-2</v>
      </c>
    </row>
    <row r="92" spans="1:11" x14ac:dyDescent="0.35">
      <c r="A92">
        <v>1972</v>
      </c>
      <c r="B92" s="1">
        <f>DATE(_dat69[[#This Row],[Year]],_dat69[[#This Row],[Quarter]]*3-1,15)</f>
        <v>26526</v>
      </c>
      <c r="C92" s="2">
        <f>_dat69[[#This Row],[Year]]+(_dat69[[#This Row],[Quarter]]-1)/4+1/8</f>
        <v>1972.625</v>
      </c>
      <c r="D92" s="2">
        <f>_dat69[[#This Row],[DecDate]]^2</f>
        <v>3891249.390625</v>
      </c>
      <c r="E92">
        <v>3</v>
      </c>
      <c r="F92">
        <v>1239</v>
      </c>
      <c r="G92">
        <f>LN(_dat69[[#This Row],[Expenditure]])</f>
        <v>7.1220598816291423</v>
      </c>
      <c r="H92">
        <f>$P$40+_dat69[[#This Row],[DecDate]]*$P$41</f>
        <v>7.1292303109401463</v>
      </c>
      <c r="I92" s="2">
        <f>$P$17+$P$18*_dat69[[#This Row],[DecDate]]+$P$19*_dat69[[#This Row],[DecDate^2]]</f>
        <v>7.1446951422798293</v>
      </c>
      <c r="J92" s="2">
        <f>_dat69[[#This Row],[LOG(Expenditure 69)]]-_dat69[[#This Row],[Quadratic Trend LOG]]</f>
        <v>-2.2635260650686995E-2</v>
      </c>
      <c r="K92" s="2">
        <f t="shared" si="1"/>
        <v>-2.7506117336798398E-2</v>
      </c>
    </row>
    <row r="93" spans="1:11" x14ac:dyDescent="0.35">
      <c r="A93">
        <v>1972</v>
      </c>
      <c r="B93" s="1">
        <f>DATE(_dat69[[#This Row],[Year]],_dat69[[#This Row],[Quarter]]*3-1,15)</f>
        <v>26618</v>
      </c>
      <c r="C93" s="2">
        <f>_dat69[[#This Row],[Year]]+(_dat69[[#This Row],[Quarter]]-1)/4+1/8</f>
        <v>1972.875</v>
      </c>
      <c r="D93" s="2">
        <f>_dat69[[#This Row],[DecDate]]^2</f>
        <v>3892235.765625</v>
      </c>
      <c r="E93">
        <v>4</v>
      </c>
      <c r="F93">
        <v>1205</v>
      </c>
      <c r="G93">
        <f>LN(_dat69[[#This Row],[Expenditure]])</f>
        <v>7.0942348459247553</v>
      </c>
      <c r="H93">
        <f>$P$40+_dat69[[#This Row],[DecDate]]*$P$41</f>
        <v>7.1306580510678526</v>
      </c>
      <c r="I93" s="2">
        <f>$P$17+$P$18*_dat69[[#This Row],[DecDate]]+$P$19*_dat69[[#This Row],[DecDate^2]]</f>
        <v>7.1465105483688376</v>
      </c>
      <c r="J93" s="2">
        <f>_dat69[[#This Row],[LOG(Expenditure 69)]]-_dat69[[#This Row],[Quadratic Trend LOG]]</f>
        <v>-5.2275702444082306E-2</v>
      </c>
      <c r="K93" s="2">
        <f t="shared" si="1"/>
        <v>-1.8321107671320291E-2</v>
      </c>
    </row>
    <row r="94" spans="1:11" x14ac:dyDescent="0.35">
      <c r="A94">
        <v>1973</v>
      </c>
      <c r="B94" s="1">
        <f>DATE(_dat69[[#This Row],[Year]],_dat69[[#This Row],[Quarter]]*3-1,15)</f>
        <v>26710</v>
      </c>
      <c r="C94" s="2">
        <f>_dat69[[#This Row],[Year]]+(_dat69[[#This Row],[Quarter]]-1)/4+1/8</f>
        <v>1973.125</v>
      </c>
      <c r="D94" s="2">
        <f>_dat69[[#This Row],[DecDate]]^2</f>
        <v>3893222.265625</v>
      </c>
      <c r="E94">
        <v>1</v>
      </c>
      <c r="F94">
        <v>1289</v>
      </c>
      <c r="G94">
        <f>LN(_dat69[[#This Row],[Expenditure]])</f>
        <v>7.161622002939187</v>
      </c>
      <c r="H94">
        <f>$P$40+_dat69[[#This Row],[DecDate]]*$P$41</f>
        <v>7.1320857911955606</v>
      </c>
      <c r="I94" s="2">
        <f>$P$17+$P$18*_dat69[[#This Row],[DecDate]]+$P$19*_dat69[[#This Row],[DecDate^2]]</f>
        <v>7.1483183531644841</v>
      </c>
      <c r="J94" s="2">
        <f>_dat69[[#This Row],[LOG(Expenditure 69)]]-_dat69[[#This Row],[Quadratic Trend LOG]]</f>
        <v>1.3303649774702997E-2</v>
      </c>
      <c r="K94" s="2">
        <f t="shared" si="1"/>
        <v>-4.068923986672246E-3</v>
      </c>
    </row>
    <row r="95" spans="1:11" x14ac:dyDescent="0.35">
      <c r="A95">
        <v>1973</v>
      </c>
      <c r="B95" s="1">
        <f>DATE(_dat69[[#This Row],[Year]],_dat69[[#This Row],[Quarter]]*3-1,15)</f>
        <v>26799</v>
      </c>
      <c r="C95" s="2">
        <f>_dat69[[#This Row],[Year]]+(_dat69[[#This Row],[Quarter]]-1)/4+1/8</f>
        <v>1973.375</v>
      </c>
      <c r="D95" s="2">
        <f>_dat69[[#This Row],[DecDate]]^2</f>
        <v>3894208.890625</v>
      </c>
      <c r="E95">
        <v>2</v>
      </c>
      <c r="F95">
        <v>1308</v>
      </c>
      <c r="G95">
        <f>LN(_dat69[[#This Row],[Expenditure]])</f>
        <v>7.1762545320171442</v>
      </c>
      <c r="H95">
        <f>$P$40+_dat69[[#This Row],[DecDate]]*$P$41</f>
        <v>7.1335135313232687</v>
      </c>
      <c r="I95" s="2">
        <f>$P$17+$P$18*_dat69[[#This Row],[DecDate]]+$P$19*_dat69[[#This Row],[DecDate^2]]</f>
        <v>7.1501185566668539</v>
      </c>
      <c r="J95" s="2">
        <f>_dat69[[#This Row],[LOG(Expenditure 69)]]-_dat69[[#This Row],[Quadratic Trend LOG]]</f>
        <v>2.613597535029033E-2</v>
      </c>
      <c r="K95" s="2">
        <f t="shared" si="1"/>
        <v>-1.1102459595301716E-2</v>
      </c>
    </row>
    <row r="96" spans="1:11" x14ac:dyDescent="0.35">
      <c r="A96">
        <v>1973</v>
      </c>
      <c r="B96" s="1">
        <f>DATE(_dat69[[#This Row],[Year]],_dat69[[#This Row],[Quarter]]*3-1,15)</f>
        <v>26891</v>
      </c>
      <c r="C96" s="2">
        <f>_dat69[[#This Row],[Year]]+(_dat69[[#This Row],[Quarter]]-1)/4+1/8</f>
        <v>1973.625</v>
      </c>
      <c r="D96" s="2">
        <f>_dat69[[#This Row],[DecDate]]^2</f>
        <v>3895195.640625</v>
      </c>
      <c r="E96">
        <v>3</v>
      </c>
      <c r="F96">
        <v>1296</v>
      </c>
      <c r="G96">
        <f>LN(_dat69[[#This Row],[Expenditure]])</f>
        <v>7.1670378769122198</v>
      </c>
      <c r="H96">
        <f>$P$40+_dat69[[#This Row],[DecDate]]*$P$41</f>
        <v>7.1349412714509768</v>
      </c>
      <c r="I96" s="2">
        <f>$P$17+$P$18*_dat69[[#This Row],[DecDate]]+$P$19*_dat69[[#This Row],[DecDate^2]]</f>
        <v>7.1519111588758051</v>
      </c>
      <c r="J96" s="2">
        <f>_dat69[[#This Row],[LOG(Expenditure 69)]]-_dat69[[#This Row],[Quadratic Trend LOG]]</f>
        <v>1.5126718036414744E-2</v>
      </c>
      <c r="K96" s="2">
        <f t="shared" si="1"/>
        <v>-6.0428418532080027E-3</v>
      </c>
    </row>
    <row r="97" spans="1:11" x14ac:dyDescent="0.35">
      <c r="A97">
        <v>1973</v>
      </c>
      <c r="B97" s="1">
        <f>DATE(_dat69[[#This Row],[Year]],_dat69[[#This Row],[Quarter]]*3-1,15)</f>
        <v>26983</v>
      </c>
      <c r="C97" s="2">
        <f>_dat69[[#This Row],[Year]]+(_dat69[[#This Row],[Quarter]]-1)/4+1/8</f>
        <v>1973.875</v>
      </c>
      <c r="D97" s="2">
        <f>_dat69[[#This Row],[DecDate]]^2</f>
        <v>3896182.515625</v>
      </c>
      <c r="E97">
        <v>4</v>
      </c>
      <c r="F97">
        <v>1207</v>
      </c>
      <c r="G97">
        <f>LN(_dat69[[#This Row],[Expenditure]])</f>
        <v>7.0958932210975316</v>
      </c>
      <c r="H97">
        <f>$P$40+_dat69[[#This Row],[DecDate]]*$P$41</f>
        <v>7.1363690115786849</v>
      </c>
      <c r="I97" s="2">
        <f>$P$17+$P$18*_dat69[[#This Row],[DecDate]]+$P$19*_dat69[[#This Row],[DecDate^2]]</f>
        <v>7.153696159791366</v>
      </c>
      <c r="J97" s="2">
        <f>_dat69[[#This Row],[LOG(Expenditure 69)]]-_dat69[[#This Row],[Quadratic Trend LOG]]</f>
        <v>-5.7802938693834349E-2</v>
      </c>
      <c r="K97" s="2">
        <f t="shared" si="1"/>
        <v>-6.5904064933629772E-3</v>
      </c>
    </row>
    <row r="98" spans="1:11" x14ac:dyDescent="0.35">
      <c r="A98">
        <v>1974</v>
      </c>
      <c r="B98" s="1">
        <f>DATE(_dat69[[#This Row],[Year]],_dat69[[#This Row],[Quarter]]*3-1,15)</f>
        <v>27075</v>
      </c>
      <c r="C98" s="2">
        <f>_dat69[[#This Row],[Year]]+(_dat69[[#This Row],[Quarter]]-1)/4+1/8</f>
        <v>1974.125</v>
      </c>
      <c r="D98" s="2">
        <f>_dat69[[#This Row],[DecDate]]^2</f>
        <v>3897169.515625</v>
      </c>
      <c r="E98">
        <v>1</v>
      </c>
      <c r="F98">
        <v>1247</v>
      </c>
      <c r="G98">
        <f>LN(_dat69[[#This Row],[Expenditure]])</f>
        <v>7.1284959456800365</v>
      </c>
      <c r="H98">
        <f>$P$40+_dat69[[#This Row],[DecDate]]*$P$41</f>
        <v>7.1377967517063929</v>
      </c>
      <c r="I98" s="2">
        <f>$P$17+$P$18*_dat69[[#This Row],[DecDate]]+$P$19*_dat69[[#This Row],[DecDate^2]]</f>
        <v>7.1554735594136503</v>
      </c>
      <c r="J98" s="2">
        <f>_dat69[[#This Row],[LOG(Expenditure 69)]]-_dat69[[#This Row],[Quadratic Trend LOG]]</f>
        <v>-2.6977613733613737E-2</v>
      </c>
      <c r="K98" s="2">
        <f t="shared" si="1"/>
        <v>-5.7851648349604547E-3</v>
      </c>
    </row>
    <row r="99" spans="1:11" x14ac:dyDescent="0.35">
      <c r="A99">
        <v>1974</v>
      </c>
      <c r="B99" s="1">
        <f>DATE(_dat69[[#This Row],[Year]],_dat69[[#This Row],[Quarter]]*3-1,15)</f>
        <v>27164</v>
      </c>
      <c r="C99" s="2">
        <f>_dat69[[#This Row],[Year]]+(_dat69[[#This Row],[Quarter]]-1)/4+1/8</f>
        <v>1974.375</v>
      </c>
      <c r="D99" s="2">
        <f>_dat69[[#This Row],[DecDate]]^2</f>
        <v>3898156.640625</v>
      </c>
      <c r="E99">
        <v>2</v>
      </c>
      <c r="F99">
        <v>1297</v>
      </c>
      <c r="G99">
        <f>LN(_dat69[[#This Row],[Expenditure]])</f>
        <v>7.167809184316444</v>
      </c>
      <c r="H99">
        <f>$P$40+_dat69[[#This Row],[DecDate]]*$P$41</f>
        <v>7.1392244918340992</v>
      </c>
      <c r="I99" s="2">
        <f>$P$17+$P$18*_dat69[[#This Row],[DecDate]]+$P$19*_dat69[[#This Row],[DecDate^2]]</f>
        <v>7.1572433577425159</v>
      </c>
      <c r="J99" s="2">
        <f>_dat69[[#This Row],[LOG(Expenditure 69)]]-_dat69[[#This Row],[Quadratic Trend LOG]]</f>
        <v>1.0565826573928128E-2</v>
      </c>
      <c r="K99" s="2">
        <f t="shared" si="1"/>
        <v>-9.8832781669289105E-3</v>
      </c>
    </row>
    <row r="100" spans="1:11" x14ac:dyDescent="0.35">
      <c r="A100">
        <v>1974</v>
      </c>
      <c r="B100" s="1">
        <f>DATE(_dat69[[#This Row],[Year]],_dat69[[#This Row],[Quarter]]*3-1,15)</f>
        <v>27256</v>
      </c>
      <c r="C100" s="2">
        <f>_dat69[[#This Row],[Year]]+(_dat69[[#This Row],[Quarter]]-1)/4+1/8</f>
        <v>1974.625</v>
      </c>
      <c r="D100" s="2">
        <f>_dat69[[#This Row],[DecDate]]^2</f>
        <v>3899143.890625</v>
      </c>
      <c r="E100">
        <v>3</v>
      </c>
      <c r="F100">
        <v>1325</v>
      </c>
      <c r="G100">
        <f>LN(_dat69[[#This Row],[Expenditure]])</f>
        <v>7.1891677384203225</v>
      </c>
      <c r="H100">
        <f>$P$40+_dat69[[#This Row],[DecDate]]*$P$41</f>
        <v>7.1406522319618073</v>
      </c>
      <c r="I100" s="2">
        <f>$P$17+$P$18*_dat69[[#This Row],[DecDate]]+$P$19*_dat69[[#This Row],[DecDate^2]]</f>
        <v>7.1590055547780196</v>
      </c>
      <c r="J100" s="2">
        <f>_dat69[[#This Row],[LOG(Expenditure 69)]]-_dat69[[#This Row],[Quadratic Trend LOG]]</f>
        <v>3.0162183642302942E-2</v>
      </c>
      <c r="K100" s="2">
        <f t="shared" si="1"/>
        <v>9.8951960770854444E-5</v>
      </c>
    </row>
    <row r="101" spans="1:11" x14ac:dyDescent="0.35">
      <c r="A101">
        <v>1974</v>
      </c>
      <c r="B101" s="1">
        <f>DATE(_dat69[[#This Row],[Year]],_dat69[[#This Row],[Quarter]]*3-1,15)</f>
        <v>27348</v>
      </c>
      <c r="C101" s="2">
        <f>_dat69[[#This Row],[Year]]+(_dat69[[#This Row],[Quarter]]-1)/4+1/8</f>
        <v>1974.875</v>
      </c>
      <c r="D101" s="2">
        <f>_dat69[[#This Row],[DecDate]]^2</f>
        <v>3900131.265625</v>
      </c>
      <c r="E101">
        <v>4</v>
      </c>
      <c r="F101">
        <v>1281</v>
      </c>
      <c r="G101">
        <f>LN(_dat69[[#This Row],[Expenditure]])</f>
        <v>7.1553963018967339</v>
      </c>
      <c r="H101">
        <f>$P$40+_dat69[[#This Row],[DecDate]]*$P$41</f>
        <v>7.1420799720895154</v>
      </c>
      <c r="I101" s="2">
        <f>$P$17+$P$18*_dat69[[#This Row],[DecDate]]+$P$19*_dat69[[#This Row],[DecDate^2]]</f>
        <v>7.1607601505201615</v>
      </c>
      <c r="J101" s="2">
        <f>_dat69[[#This Row],[LOG(Expenditure 69)]]-_dat69[[#This Row],[Quadratic Trend LOG]]</f>
        <v>-5.3638486234275362E-3</v>
      </c>
      <c r="K101" s="2">
        <f t="shared" si="1"/>
        <v>4.1922639325916219E-3</v>
      </c>
    </row>
    <row r="102" spans="1:11" x14ac:dyDescent="0.35">
      <c r="A102">
        <v>1975</v>
      </c>
      <c r="B102" s="1">
        <f>DATE(_dat69[[#This Row],[Year]],_dat69[[#This Row],[Quarter]]*3-1,15)</f>
        <v>27440</v>
      </c>
      <c r="C102" s="2">
        <f>_dat69[[#This Row],[Year]]+(_dat69[[#This Row],[Quarter]]-1)/4+1/8</f>
        <v>1975.125</v>
      </c>
      <c r="D102" s="2">
        <f>_dat69[[#This Row],[DecDate]]^2</f>
        <v>3901118.765625</v>
      </c>
      <c r="E102">
        <v>1</v>
      </c>
      <c r="F102">
        <v>1280</v>
      </c>
      <c r="G102">
        <f>LN(_dat69[[#This Row],[Expenditure]])</f>
        <v>7.1546153569136628</v>
      </c>
      <c r="H102">
        <f>$P$40+_dat69[[#This Row],[DecDate]]*$P$41</f>
        <v>7.1435077122172235</v>
      </c>
      <c r="I102" s="2">
        <f>$P$17+$P$18*_dat69[[#This Row],[DecDate]]+$P$19*_dat69[[#This Row],[DecDate^2]]</f>
        <v>7.1625071449689983</v>
      </c>
      <c r="J102" s="2">
        <f>_dat69[[#This Row],[LOG(Expenditure 69)]]-_dat69[[#This Row],[Quadratic Trend LOG]]</f>
        <v>-7.8917880553355246E-3</v>
      </c>
      <c r="K102" s="2">
        <f t="shared" si="1"/>
        <v>-2.3930468386643257E-3</v>
      </c>
    </row>
    <row r="103" spans="1:11" x14ac:dyDescent="0.35">
      <c r="A103">
        <v>1975</v>
      </c>
      <c r="B103" s="1">
        <f>DATE(_dat69[[#This Row],[Year]],_dat69[[#This Row],[Quarter]]*3-1,15)</f>
        <v>27529</v>
      </c>
      <c r="C103" s="2">
        <f>_dat69[[#This Row],[Year]]+(_dat69[[#This Row],[Quarter]]-1)/4+1/8</f>
        <v>1975.375</v>
      </c>
      <c r="D103" s="2">
        <f>_dat69[[#This Row],[DecDate]]^2</f>
        <v>3902106.390625</v>
      </c>
      <c r="E103">
        <v>2</v>
      </c>
      <c r="F103">
        <v>1284</v>
      </c>
      <c r="G103">
        <f>LN(_dat69[[#This Row],[Expenditure]])</f>
        <v>7.1577354842499066</v>
      </c>
      <c r="H103">
        <f>$P$40+_dat69[[#This Row],[DecDate]]*$P$41</f>
        <v>7.1449354523449315</v>
      </c>
      <c r="I103" s="2">
        <f>$P$17+$P$18*_dat69[[#This Row],[DecDate]]+$P$19*_dat69[[#This Row],[DecDate^2]]</f>
        <v>7.1642465381244165</v>
      </c>
      <c r="J103" s="2">
        <f>_dat69[[#This Row],[LOG(Expenditure 69)]]-_dat69[[#This Row],[Quadratic Trend LOG]]</f>
        <v>-6.5110538745098978E-3</v>
      </c>
      <c r="K103" s="2">
        <f t="shared" si="1"/>
        <v>-1.0730660182052354E-2</v>
      </c>
    </row>
    <row r="104" spans="1:11" x14ac:dyDescent="0.35">
      <c r="A104">
        <v>1975</v>
      </c>
      <c r="B104" s="1">
        <f>DATE(_dat69[[#This Row],[Year]],_dat69[[#This Row],[Quarter]]*3-1,15)</f>
        <v>27621</v>
      </c>
      <c r="C104" s="2">
        <f>_dat69[[#This Row],[Year]]+(_dat69[[#This Row],[Quarter]]-1)/4+1/8</f>
        <v>1975.625</v>
      </c>
      <c r="D104" s="2">
        <f>_dat69[[#This Row],[DecDate]]^2</f>
        <v>3903094.140625</v>
      </c>
      <c r="E104">
        <v>3</v>
      </c>
      <c r="F104">
        <v>1266</v>
      </c>
      <c r="G104">
        <f>LN(_dat69[[#This Row],[Expenditure]])</f>
        <v>7.1436176027041212</v>
      </c>
      <c r="H104">
        <f>$P$40+_dat69[[#This Row],[DecDate]]*$P$41</f>
        <v>7.1463631924726396</v>
      </c>
      <c r="I104" s="2">
        <f>$P$17+$P$18*_dat69[[#This Row],[DecDate]]+$P$19*_dat69[[#This Row],[DecDate^2]]</f>
        <v>7.1659783299864728</v>
      </c>
      <c r="J104" s="2">
        <f>_dat69[[#This Row],[LOG(Expenditure 69)]]-_dat69[[#This Row],[Quadratic Trend LOG]]</f>
        <v>-2.2360727282351611E-2</v>
      </c>
      <c r="K104" s="2">
        <f t="shared" si="1"/>
        <v>-2.238448652722962E-2</v>
      </c>
    </row>
    <row r="105" spans="1:11" x14ac:dyDescent="0.35">
      <c r="A105">
        <v>1975</v>
      </c>
      <c r="B105" s="1">
        <f>DATE(_dat69[[#This Row],[Year]],_dat69[[#This Row],[Quarter]]*3-1,15)</f>
        <v>27713</v>
      </c>
      <c r="C105" s="2">
        <f>_dat69[[#This Row],[Year]]+(_dat69[[#This Row],[Quarter]]-1)/4+1/8</f>
        <v>1975.875</v>
      </c>
      <c r="D105" s="2">
        <f>_dat69[[#This Row],[DecDate]]^2</f>
        <v>3904082.015625</v>
      </c>
      <c r="E105">
        <v>4</v>
      </c>
      <c r="F105">
        <v>1282</v>
      </c>
      <c r="G105">
        <f>LN(_dat69[[#This Row],[Expenditure]])</f>
        <v>7.1561766374806153</v>
      </c>
      <c r="H105">
        <f>$P$40+_dat69[[#This Row],[DecDate]]*$P$41</f>
        <v>7.1477909326003459</v>
      </c>
      <c r="I105" s="2">
        <f>$P$17+$P$18*_dat69[[#This Row],[DecDate]]+$P$19*_dat69[[#This Row],[DecDate^2]]</f>
        <v>7.1677025205552525</v>
      </c>
      <c r="J105" s="2">
        <f>_dat69[[#This Row],[LOG(Expenditure 69)]]-_dat69[[#This Row],[Quadratic Trend LOG]]</f>
        <v>-1.15258830746372E-2</v>
      </c>
      <c r="K105" s="2">
        <f t="shared" si="1"/>
        <v>-3.3219321341244876E-2</v>
      </c>
    </row>
    <row r="106" spans="1:11" x14ac:dyDescent="0.35">
      <c r="A106">
        <v>1976</v>
      </c>
      <c r="B106" s="1">
        <f>DATE(_dat69[[#This Row],[Year]],_dat69[[#This Row],[Quarter]]*3-1,15)</f>
        <v>27805</v>
      </c>
      <c r="C106" s="2">
        <f>_dat69[[#This Row],[Year]]+(_dat69[[#This Row],[Quarter]]-1)/4+1/8</f>
        <v>1976.125</v>
      </c>
      <c r="D106" s="2">
        <f>_dat69[[#This Row],[DecDate]]^2</f>
        <v>3905070.015625</v>
      </c>
      <c r="E106">
        <v>1</v>
      </c>
      <c r="F106">
        <v>1219</v>
      </c>
      <c r="G106">
        <f>LN(_dat69[[#This Row],[Expenditure]])</f>
        <v>7.1057861294812712</v>
      </c>
      <c r="H106">
        <f>$P$40+_dat69[[#This Row],[DecDate]]*$P$41</f>
        <v>7.149218672728054</v>
      </c>
      <c r="I106" s="2">
        <f>$P$17+$P$18*_dat69[[#This Row],[DecDate]]+$P$19*_dat69[[#This Row],[DecDate^2]]</f>
        <v>7.1694191098305851</v>
      </c>
      <c r="J106" s="2">
        <f>_dat69[[#This Row],[LOG(Expenditure 69)]]-_dat69[[#This Row],[Quadratic Trend LOG]]</f>
        <v>-6.3632980349313861E-2</v>
      </c>
      <c r="K106" s="2">
        <f t="shared" si="1"/>
        <v>-2.2261987830093765E-2</v>
      </c>
    </row>
    <row r="107" spans="1:11" x14ac:dyDescent="0.35">
      <c r="A107">
        <v>1976</v>
      </c>
      <c r="B107" s="1">
        <f>DATE(_dat69[[#This Row],[Year]],_dat69[[#This Row],[Quarter]]*3-1,15)</f>
        <v>27895</v>
      </c>
      <c r="C107" s="2">
        <f>_dat69[[#This Row],[Year]]+(_dat69[[#This Row],[Quarter]]-1)/4+1/8</f>
        <v>1976.375</v>
      </c>
      <c r="D107" s="2">
        <f>_dat69[[#This Row],[DecDate]]^2</f>
        <v>3906058.140625</v>
      </c>
      <c r="E107">
        <v>2</v>
      </c>
      <c r="F107">
        <v>1223</v>
      </c>
      <c r="G107">
        <f>LN(_dat69[[#This Row],[Expenditure]])</f>
        <v>7.1090621356871724</v>
      </c>
      <c r="H107">
        <f>$P$40+_dat69[[#This Row],[DecDate]]*$P$41</f>
        <v>7.1506464128557621</v>
      </c>
      <c r="I107" s="2">
        <f>$P$17+$P$18*_dat69[[#This Row],[DecDate]]+$P$19*_dat69[[#This Row],[DecDate^2]]</f>
        <v>7.1711280978125842</v>
      </c>
      <c r="J107" s="2">
        <f>_dat69[[#This Row],[LOG(Expenditure 69)]]-_dat69[[#This Row],[Quadratic Trend LOG]]</f>
        <v>-6.2065962125411822E-2</v>
      </c>
      <c r="K107" s="2">
        <f t="shared" si="1"/>
        <v>-2.4287181411567892E-2</v>
      </c>
    </row>
    <row r="108" spans="1:11" x14ac:dyDescent="0.35">
      <c r="A108">
        <v>1976</v>
      </c>
      <c r="B108" s="1">
        <f>DATE(_dat69[[#This Row],[Year]],_dat69[[#This Row],[Quarter]]*3-1,15)</f>
        <v>27987</v>
      </c>
      <c r="C108" s="2">
        <f>_dat69[[#This Row],[Year]]+(_dat69[[#This Row],[Quarter]]-1)/4+1/8</f>
        <v>1976.625</v>
      </c>
      <c r="D108" s="2">
        <f>_dat69[[#This Row],[DecDate]]^2</f>
        <v>3907046.390625</v>
      </c>
      <c r="E108">
        <v>3</v>
      </c>
      <c r="F108">
        <v>1368</v>
      </c>
      <c r="G108">
        <f>LN(_dat69[[#This Row],[Expenditure]])</f>
        <v>7.2211050981824956</v>
      </c>
      <c r="H108">
        <f>$P$40+_dat69[[#This Row],[DecDate]]*$P$41</f>
        <v>7.1520741529834702</v>
      </c>
      <c r="I108" s="2">
        <f>$P$17+$P$18*_dat69[[#This Row],[DecDate]]+$P$19*_dat69[[#This Row],[DecDate^2]]</f>
        <v>7.1728294845012499</v>
      </c>
      <c r="J108" s="2">
        <f>_dat69[[#This Row],[LOG(Expenditure 69)]]-_dat69[[#This Row],[Quadratic Trend LOG]]</f>
        <v>4.8275613681245666E-2</v>
      </c>
      <c r="K108" s="2">
        <f t="shared" si="1"/>
        <v>-2.1667412357288817E-2</v>
      </c>
    </row>
    <row r="109" spans="1:11" x14ac:dyDescent="0.35">
      <c r="A109">
        <v>1976</v>
      </c>
      <c r="B109" s="1">
        <f>DATE(_dat69[[#This Row],[Year]],_dat69[[#This Row],[Quarter]]*3-1,15)</f>
        <v>28079</v>
      </c>
      <c r="C109" s="2">
        <f>_dat69[[#This Row],[Year]]+(_dat69[[#This Row],[Quarter]]-1)/4+1/8</f>
        <v>1976.875</v>
      </c>
      <c r="D109" s="2">
        <f>_dat69[[#This Row],[DecDate]]^2</f>
        <v>3908034.765625</v>
      </c>
      <c r="E109">
        <v>4</v>
      </c>
      <c r="F109">
        <v>1264</v>
      </c>
      <c r="G109">
        <f>LN(_dat69[[#This Row],[Expenditure]])</f>
        <v>7.1420365747068031</v>
      </c>
      <c r="H109">
        <f>$P$40+_dat69[[#This Row],[DecDate]]*$P$41</f>
        <v>7.1535018931111782</v>
      </c>
      <c r="I109" s="2">
        <f>$P$17+$P$18*_dat69[[#This Row],[DecDate]]+$P$19*_dat69[[#This Row],[DecDate^2]]</f>
        <v>7.1745232698965253</v>
      </c>
      <c r="J109" s="2">
        <f>_dat69[[#This Row],[LOG(Expenditure 69)]]-_dat69[[#This Row],[Quadratic Trend LOG]]</f>
        <v>-3.2486695189722248E-2</v>
      </c>
      <c r="K109" s="2">
        <f t="shared" si="1"/>
        <v>-1.0494514958909917E-2</v>
      </c>
    </row>
    <row r="110" spans="1:11" x14ac:dyDescent="0.35">
      <c r="A110">
        <v>1977</v>
      </c>
      <c r="B110" s="1">
        <f>DATE(_dat69[[#This Row],[Year]],_dat69[[#This Row],[Quarter]]*3-1,15)</f>
        <v>28171</v>
      </c>
      <c r="C110" s="2">
        <f>_dat69[[#This Row],[Year]]+(_dat69[[#This Row],[Quarter]]-1)/4+1/8</f>
        <v>1977.125</v>
      </c>
      <c r="D110" s="2">
        <f>_dat69[[#This Row],[DecDate]]^2</f>
        <v>3909023.265625</v>
      </c>
      <c r="E110">
        <v>1</v>
      </c>
      <c r="F110">
        <v>1310</v>
      </c>
      <c r="G110">
        <f>LN(_dat69[[#This Row],[Expenditure]])</f>
        <v>7.1777824161951971</v>
      </c>
      <c r="H110">
        <f>$P$40+_dat69[[#This Row],[DecDate]]*$P$41</f>
        <v>7.1549296332388845</v>
      </c>
      <c r="I110" s="2">
        <f>$P$17+$P$18*_dat69[[#This Row],[DecDate]]+$P$19*_dat69[[#This Row],[DecDate^2]]</f>
        <v>7.1762094539984389</v>
      </c>
      <c r="J110" s="2">
        <f>_dat69[[#This Row],[LOG(Expenditure 69)]]-_dat69[[#This Row],[Quadratic Trend LOG]]</f>
        <v>1.5729621967581764E-3</v>
      </c>
      <c r="K110" s="2">
        <f t="shared" si="1"/>
        <v>8.76053542545332E-3</v>
      </c>
    </row>
    <row r="111" spans="1:11" x14ac:dyDescent="0.35">
      <c r="A111">
        <v>1977</v>
      </c>
      <c r="B111" s="1">
        <f>DATE(_dat69[[#This Row],[Year]],_dat69[[#This Row],[Quarter]]*3-1,15)</f>
        <v>28260</v>
      </c>
      <c r="C111" s="2">
        <f>_dat69[[#This Row],[Year]]+(_dat69[[#This Row],[Quarter]]-1)/4+1/8</f>
        <v>1977.375</v>
      </c>
      <c r="D111" s="2">
        <f>_dat69[[#This Row],[DecDate]]^2</f>
        <v>3910011.890625</v>
      </c>
      <c r="E111">
        <v>2</v>
      </c>
      <c r="F111">
        <v>1300</v>
      </c>
      <c r="G111">
        <f>LN(_dat69[[#This Row],[Expenditure]])</f>
        <v>7.1701195434496281</v>
      </c>
      <c r="H111">
        <f>$P$40+_dat69[[#This Row],[DecDate]]*$P$41</f>
        <v>7.1563573733665926</v>
      </c>
      <c r="I111" s="2">
        <f>$P$17+$P$18*_dat69[[#This Row],[DecDate]]+$P$19*_dat69[[#This Row],[DecDate^2]]</f>
        <v>7.1778880368070475</v>
      </c>
      <c r="J111" s="2">
        <f>_dat69[[#This Row],[LOG(Expenditure 69)]]-_dat69[[#This Row],[Quadratic Trend LOG]]</f>
        <v>-7.7684933574193593E-3</v>
      </c>
      <c r="K111" s="2">
        <f t="shared" si="1"/>
        <v>-5.9037395234858179E-3</v>
      </c>
    </row>
    <row r="112" spans="1:11" x14ac:dyDescent="0.35">
      <c r="A112">
        <v>1977</v>
      </c>
      <c r="B112" s="1">
        <f>DATE(_dat69[[#This Row],[Year]],_dat69[[#This Row],[Quarter]]*3-1,15)</f>
        <v>28352</v>
      </c>
      <c r="C112" s="2">
        <f>_dat69[[#This Row],[Year]]+(_dat69[[#This Row],[Quarter]]-1)/4+1/8</f>
        <v>1977.625</v>
      </c>
      <c r="D112" s="2">
        <f>_dat69[[#This Row],[DecDate]]^2</f>
        <v>3911000.640625</v>
      </c>
      <c r="E112">
        <v>3</v>
      </c>
      <c r="F112">
        <v>1358</v>
      </c>
      <c r="G112">
        <f>LN(_dat69[[#This Row],[Expenditure]])</f>
        <v>7.2137683081186417</v>
      </c>
      <c r="H112">
        <f>$P$40+_dat69[[#This Row],[DecDate]]*$P$41</f>
        <v>7.1577851134943007</v>
      </c>
      <c r="I112" s="2">
        <f>$P$17+$P$18*_dat69[[#This Row],[DecDate]]+$P$19*_dat69[[#This Row],[DecDate^2]]</f>
        <v>7.1795590183222373</v>
      </c>
      <c r="J112" s="2">
        <f>_dat69[[#This Row],[LOG(Expenditure 69)]]-_dat69[[#This Row],[Quadratic Trend LOG]]</f>
        <v>3.4209289796404363E-2</v>
      </c>
      <c r="K112" s="2">
        <f t="shared" si="1"/>
        <v>-3.347557810730528E-3</v>
      </c>
    </row>
    <row r="113" spans="1:11" x14ac:dyDescent="0.35">
      <c r="A113">
        <v>1977</v>
      </c>
      <c r="B113" s="1">
        <f>DATE(_dat69[[#This Row],[Year]],_dat69[[#This Row],[Quarter]]*3-1,15)</f>
        <v>28444</v>
      </c>
      <c r="C113" s="2">
        <f>_dat69[[#This Row],[Year]]+(_dat69[[#This Row],[Quarter]]-1)/4+1/8</f>
        <v>1977.875</v>
      </c>
      <c r="D113" s="2">
        <f>_dat69[[#This Row],[DecDate]]^2</f>
        <v>3911989.515625</v>
      </c>
      <c r="E113">
        <v>4</v>
      </c>
      <c r="F113">
        <v>1282</v>
      </c>
      <c r="G113">
        <f>LN(_dat69[[#This Row],[Expenditure]])</f>
        <v>7.1561766374806153</v>
      </c>
      <c r="H113">
        <f>$P$40+_dat69[[#This Row],[DecDate]]*$P$41</f>
        <v>7.1592128536220088</v>
      </c>
      <c r="I113" s="2">
        <f>$P$17+$P$18*_dat69[[#This Row],[DecDate]]+$P$19*_dat69[[#This Row],[DecDate^2]]</f>
        <v>7.1812223985440653</v>
      </c>
      <c r="J113" s="2">
        <f>_dat69[[#This Row],[LOG(Expenditure 69)]]-_dat69[[#This Row],[Quadratic Trend LOG]]</f>
        <v>-2.5045761063450023E-2</v>
      </c>
      <c r="K113" s="2">
        <f t="shared" si="1"/>
        <v>-7.8117313398600179E-4</v>
      </c>
    </row>
    <row r="114" spans="1:11" x14ac:dyDescent="0.35">
      <c r="A114">
        <v>1978</v>
      </c>
      <c r="B114" s="1">
        <f>DATE(_dat69[[#This Row],[Year]],_dat69[[#This Row],[Quarter]]*3-1,15)</f>
        <v>28536</v>
      </c>
      <c r="C114" s="2">
        <f>_dat69[[#This Row],[Year]]+(_dat69[[#This Row],[Quarter]]-1)/4+1/8</f>
        <v>1978.125</v>
      </c>
      <c r="D114" s="2">
        <f>_dat69[[#This Row],[DecDate]]^2</f>
        <v>3912978.515625</v>
      </c>
      <c r="E114">
        <v>1</v>
      </c>
      <c r="F114">
        <v>1291</v>
      </c>
      <c r="G114">
        <f>LN(_dat69[[#This Row],[Expenditure]])</f>
        <v>7.1631723908466425</v>
      </c>
      <c r="H114">
        <f>$P$40+_dat69[[#This Row],[DecDate]]*$P$41</f>
        <v>7.1606405937497168</v>
      </c>
      <c r="I114" s="2">
        <f>$P$17+$P$18*_dat69[[#This Row],[DecDate]]+$P$19*_dat69[[#This Row],[DecDate^2]]</f>
        <v>7.1828781774725883</v>
      </c>
      <c r="J114" s="2">
        <f>_dat69[[#This Row],[LOG(Expenditure 69)]]-_dat69[[#This Row],[Quadratic Trend LOG]]</f>
        <v>-1.9705786625945798E-2</v>
      </c>
      <c r="K114" s="2">
        <f t="shared" si="1"/>
        <v>1.2812755268097397E-2</v>
      </c>
    </row>
    <row r="115" spans="1:11" x14ac:dyDescent="0.35">
      <c r="A115">
        <v>1978</v>
      </c>
      <c r="B115" s="1">
        <f>DATE(_dat69[[#This Row],[Year]],_dat69[[#This Row],[Quarter]]*3-1,15)</f>
        <v>28625</v>
      </c>
      <c r="C115" s="2">
        <f>_dat69[[#This Row],[Year]]+(_dat69[[#This Row],[Quarter]]-1)/4+1/8</f>
        <v>1978.375</v>
      </c>
      <c r="D115" s="2">
        <f>_dat69[[#This Row],[DecDate]]^2</f>
        <v>3913967.640625</v>
      </c>
      <c r="E115">
        <v>2</v>
      </c>
      <c r="F115">
        <v>1338</v>
      </c>
      <c r="G115">
        <f>LN(_dat69[[#This Row],[Expenditure]])</f>
        <v>7.1989312406881734</v>
      </c>
      <c r="H115">
        <f>$P$40+_dat69[[#This Row],[DecDate]]*$P$41</f>
        <v>7.1620683338774249</v>
      </c>
      <c r="I115" s="2">
        <f>$P$17+$P$18*_dat69[[#This Row],[DecDate]]+$P$19*_dat69[[#This Row],[DecDate^2]]</f>
        <v>7.1845263551076926</v>
      </c>
      <c r="J115" s="2">
        <f>_dat69[[#This Row],[LOG(Expenditure 69)]]-_dat69[[#This Row],[Quadratic Trend LOG]]</f>
        <v>1.4404885580480808E-2</v>
      </c>
      <c r="K115" s="2">
        <f t="shared" si="1"/>
        <v>2.6929696874926633E-4</v>
      </c>
    </row>
    <row r="116" spans="1:11" x14ac:dyDescent="0.35">
      <c r="A116">
        <v>1978</v>
      </c>
      <c r="B116" s="1">
        <f>DATE(_dat69[[#This Row],[Year]],_dat69[[#This Row],[Quarter]]*3-1,15)</f>
        <v>28717</v>
      </c>
      <c r="C116" s="2">
        <f>_dat69[[#This Row],[Year]]+(_dat69[[#This Row],[Quarter]]-1)/4+1/8</f>
        <v>1978.625</v>
      </c>
      <c r="D116" s="2">
        <f>_dat69[[#This Row],[DecDate]]^2</f>
        <v>3914956.890625</v>
      </c>
      <c r="E116">
        <v>3</v>
      </c>
      <c r="F116">
        <v>1403</v>
      </c>
      <c r="G116">
        <f>LN(_dat69[[#This Row],[Expenditure]])</f>
        <v>7.246368080102461</v>
      </c>
      <c r="H116">
        <f>$P$40+_dat69[[#This Row],[DecDate]]*$P$41</f>
        <v>7.1634960740051312</v>
      </c>
      <c r="I116" s="2">
        <f>$P$17+$P$18*_dat69[[#This Row],[DecDate]]+$P$19*_dat69[[#This Row],[DecDate^2]]</f>
        <v>7.1861669314494634</v>
      </c>
      <c r="J116" s="2">
        <f>_dat69[[#This Row],[LOG(Expenditure 69)]]-_dat69[[#This Row],[Quadratic Trend LOG]]</f>
        <v>6.0201148652997638E-2</v>
      </c>
      <c r="K116" s="2">
        <f t="shared" si="1"/>
        <v>-1.9962798816486327E-3</v>
      </c>
    </row>
    <row r="117" spans="1:11" x14ac:dyDescent="0.35">
      <c r="A117">
        <v>1978</v>
      </c>
      <c r="B117" s="1">
        <f>DATE(_dat69[[#This Row],[Year]],_dat69[[#This Row],[Quarter]]*3-1,15)</f>
        <v>28809</v>
      </c>
      <c r="C117" s="2">
        <f>_dat69[[#This Row],[Year]]+(_dat69[[#This Row],[Quarter]]-1)/4+1/8</f>
        <v>1978.875</v>
      </c>
      <c r="D117" s="2">
        <f>_dat69[[#This Row],[DecDate]]^2</f>
        <v>3915946.265625</v>
      </c>
      <c r="E117">
        <v>4</v>
      </c>
      <c r="F117">
        <v>1286</v>
      </c>
      <c r="G117">
        <f>LN(_dat69[[#This Row],[Expenditure]])</f>
        <v>7.1592919047975645</v>
      </c>
      <c r="H117">
        <f>$P$40+_dat69[[#This Row],[DecDate]]*$P$41</f>
        <v>7.1649238141328393</v>
      </c>
      <c r="I117" s="2">
        <f>$P$17+$P$18*_dat69[[#This Row],[DecDate]]+$P$19*_dat69[[#This Row],[DecDate^2]]</f>
        <v>7.1877999064979008</v>
      </c>
      <c r="J117" s="2">
        <f>_dat69[[#This Row],[LOG(Expenditure 69)]]-_dat69[[#This Row],[Quadratic Trend LOG]]</f>
        <v>-2.8508001700336294E-2</v>
      </c>
      <c r="K117" s="2">
        <f t="shared" si="1"/>
        <v>2.0668927767211187E-4</v>
      </c>
    </row>
    <row r="118" spans="1:11" x14ac:dyDescent="0.35">
      <c r="A118">
        <v>1979</v>
      </c>
      <c r="B118" s="1">
        <f>DATE(_dat69[[#This Row],[Year]],_dat69[[#This Row],[Quarter]]*3-1,15)</f>
        <v>28901</v>
      </c>
      <c r="C118" s="2">
        <f>_dat69[[#This Row],[Year]]+(_dat69[[#This Row],[Quarter]]-1)/4+1/8</f>
        <v>1979.125</v>
      </c>
      <c r="D118" s="2">
        <f>_dat69[[#This Row],[DecDate]]^2</f>
        <v>3916935.765625</v>
      </c>
      <c r="E118">
        <v>1</v>
      </c>
      <c r="F118">
        <v>1278</v>
      </c>
      <c r="G118">
        <f>LN(_dat69[[#This Row],[Expenditure]])</f>
        <v>7.15305163493748</v>
      </c>
      <c r="H118">
        <f>$P$40+_dat69[[#This Row],[DecDate]]*$P$41</f>
        <v>7.1663515542605474</v>
      </c>
      <c r="I118" s="2">
        <f>$P$17+$P$18*_dat69[[#This Row],[DecDate]]+$P$19*_dat69[[#This Row],[DecDate^2]]</f>
        <v>7.1894252802529195</v>
      </c>
      <c r="J118" s="2">
        <f>_dat69[[#This Row],[LOG(Expenditure 69)]]-_dat69[[#This Row],[Quadratic Trend LOG]]</f>
        <v>-3.6373645315439518E-2</v>
      </c>
      <c r="K118" s="2">
        <f t="shared" si="1"/>
        <v>5.486151109266757E-3</v>
      </c>
    </row>
    <row r="119" spans="1:11" x14ac:dyDescent="0.35">
      <c r="A119">
        <v>1979</v>
      </c>
      <c r="B119" s="1">
        <f>DATE(_dat69[[#This Row],[Year]],_dat69[[#This Row],[Quarter]]*3-1,15)</f>
        <v>28990</v>
      </c>
      <c r="C119" s="2">
        <f>_dat69[[#This Row],[Year]]+(_dat69[[#This Row],[Quarter]]-1)/4+1/8</f>
        <v>1979.375</v>
      </c>
      <c r="D119" s="2">
        <f>_dat69[[#This Row],[DecDate]]^2</f>
        <v>3917925.390625</v>
      </c>
      <c r="E119">
        <v>2</v>
      </c>
      <c r="F119">
        <v>1316</v>
      </c>
      <c r="G119">
        <f>LN(_dat69[[#This Row],[Expenditure]])</f>
        <v>7.1823521118852627</v>
      </c>
      <c r="H119">
        <f>$P$40+_dat69[[#This Row],[DecDate]]*$P$41</f>
        <v>7.1677792943882555</v>
      </c>
      <c r="I119" s="2">
        <f>$P$17+$P$18*_dat69[[#This Row],[DecDate]]+$P$19*_dat69[[#This Row],[DecDate^2]]</f>
        <v>7.1910430527146048</v>
      </c>
      <c r="J119" s="2">
        <f>_dat69[[#This Row],[LOG(Expenditure 69)]]-_dat69[[#This Row],[Quadratic Trend LOG]]</f>
        <v>-8.6909408293420753E-3</v>
      </c>
      <c r="K119" s="2">
        <f t="shared" si="1"/>
        <v>-1.6997922431555779E-2</v>
      </c>
    </row>
    <row r="120" spans="1:11" x14ac:dyDescent="0.35">
      <c r="A120">
        <v>1979</v>
      </c>
      <c r="B120" s="1">
        <f>DATE(_dat69[[#This Row],[Year]],_dat69[[#This Row],[Quarter]]*3-1,15)</f>
        <v>29082</v>
      </c>
      <c r="C120" s="2">
        <f>_dat69[[#This Row],[Year]]+(_dat69[[#This Row],[Quarter]]-1)/4+1/8</f>
        <v>1979.625</v>
      </c>
      <c r="D120" s="2">
        <f>_dat69[[#This Row],[DecDate]]^2</f>
        <v>3918915.140625</v>
      </c>
      <c r="E120">
        <v>3</v>
      </c>
      <c r="F120">
        <v>1385</v>
      </c>
      <c r="G120">
        <f>LN(_dat69[[#This Row],[Expenditure]])</f>
        <v>7.233455418621439</v>
      </c>
      <c r="H120">
        <f>$P$40+_dat69[[#This Row],[DecDate]]*$P$41</f>
        <v>7.1692070345159635</v>
      </c>
      <c r="I120" s="2">
        <f>$P$17+$P$18*_dat69[[#This Row],[DecDate]]+$P$19*_dat69[[#This Row],[DecDate^2]]</f>
        <v>7.192653223882985</v>
      </c>
      <c r="J120" s="2">
        <f>_dat69[[#This Row],[LOG(Expenditure 69)]]-_dat69[[#This Row],[Quadratic Trend LOG]]</f>
        <v>4.0802194738454034E-2</v>
      </c>
      <c r="K120" s="2">
        <f t="shared" si="1"/>
        <v>-2.5088312779630507E-2</v>
      </c>
    </row>
    <row r="121" spans="1:11" x14ac:dyDescent="0.35">
      <c r="A121">
        <v>1979</v>
      </c>
      <c r="B121" s="1">
        <f>DATE(_dat69[[#This Row],[Year]],_dat69[[#This Row],[Quarter]]*3-1,15)</f>
        <v>29174</v>
      </c>
      <c r="C121" s="2">
        <f>_dat69[[#This Row],[Year]]+(_dat69[[#This Row],[Quarter]]-1)/4+1/8</f>
        <v>1979.875</v>
      </c>
      <c r="D121" s="2">
        <f>_dat69[[#This Row],[DecDate]]^2</f>
        <v>3919905.015625</v>
      </c>
      <c r="E121">
        <v>4</v>
      </c>
      <c r="F121">
        <v>1264</v>
      </c>
      <c r="G121">
        <f>LN(_dat69[[#This Row],[Expenditure]])</f>
        <v>7.1420365747068031</v>
      </c>
      <c r="H121">
        <f>$P$40+_dat69[[#This Row],[DecDate]]*$P$41</f>
        <v>7.1706347746436716</v>
      </c>
      <c r="I121" s="2">
        <f>$P$17+$P$18*_dat69[[#This Row],[DecDate]]+$P$19*_dat69[[#This Row],[DecDate^2]]</f>
        <v>7.1942557937579181</v>
      </c>
      <c r="J121" s="2">
        <f>_dat69[[#This Row],[LOG(Expenditure 69)]]-_dat69[[#This Row],[Quadratic Trend LOG]]</f>
        <v>-5.221921905111504E-2</v>
      </c>
      <c r="K121" s="2">
        <f t="shared" si="1"/>
        <v>-2.3739372778816305E-2</v>
      </c>
    </row>
    <row r="122" spans="1:11" x14ac:dyDescent="0.35">
      <c r="A122">
        <v>1980</v>
      </c>
      <c r="B122" s="1">
        <f>DATE(_dat69[[#This Row],[Year]],_dat69[[#This Row],[Quarter]]*3-1,15)</f>
        <v>29266</v>
      </c>
      <c r="C122" s="2">
        <f>_dat69[[#This Row],[Year]]+(_dat69[[#This Row],[Quarter]]-1)/4+1/8</f>
        <v>1980.125</v>
      </c>
      <c r="D122" s="2">
        <f>_dat69[[#This Row],[DecDate]]^2</f>
        <v>3920895.015625</v>
      </c>
      <c r="E122">
        <v>1</v>
      </c>
      <c r="F122">
        <v>1245</v>
      </c>
      <c r="G122">
        <f>LN(_dat69[[#This Row],[Expenditure]])</f>
        <v>7.1268908088988079</v>
      </c>
      <c r="H122">
        <f>$P$40+_dat69[[#This Row],[DecDate]]*$P$41</f>
        <v>7.1720625147713779</v>
      </c>
      <c r="I122" s="2">
        <f>$P$17+$P$18*_dat69[[#This Row],[DecDate]]+$P$19*_dat69[[#This Row],[DecDate^2]]</f>
        <v>7.1958507623395178</v>
      </c>
      <c r="J122" s="2">
        <f>_dat69[[#This Row],[LOG(Expenditure 69)]]-_dat69[[#This Row],[Quadratic Trend LOG]]</f>
        <v>-6.8959953440709931E-2</v>
      </c>
      <c r="K122" s="2">
        <f t="shared" si="1"/>
        <v>-1.8756767991466104E-2</v>
      </c>
    </row>
    <row r="123" spans="1:11" x14ac:dyDescent="0.35">
      <c r="A123">
        <v>1980</v>
      </c>
      <c r="B123" s="1">
        <f>DATE(_dat69[[#This Row],[Year]],_dat69[[#This Row],[Quarter]]*3-1,15)</f>
        <v>29356</v>
      </c>
      <c r="C123" s="2">
        <f>_dat69[[#This Row],[Year]]+(_dat69[[#This Row],[Quarter]]-1)/4+1/8</f>
        <v>1980.375</v>
      </c>
      <c r="D123" s="2">
        <f>_dat69[[#This Row],[DecDate]]^2</f>
        <v>3921885.140625</v>
      </c>
      <c r="E123">
        <v>2</v>
      </c>
      <c r="F123">
        <v>1297</v>
      </c>
      <c r="G123">
        <f>LN(_dat69[[#This Row],[Expenditure]])</f>
        <v>7.167809184316444</v>
      </c>
      <c r="H123">
        <f>$P$40+_dat69[[#This Row],[DecDate]]*$P$41</f>
        <v>7.173490254899086</v>
      </c>
      <c r="I123" s="2">
        <f>$P$17+$P$18*_dat69[[#This Row],[DecDate]]+$P$19*_dat69[[#This Row],[DecDate^2]]</f>
        <v>7.1974381296278125</v>
      </c>
      <c r="J123" s="2">
        <f>_dat69[[#This Row],[LOG(Expenditure 69)]]-_dat69[[#This Row],[Quadratic Trend LOG]]</f>
        <v>-2.9628945311368504E-2</v>
      </c>
      <c r="K123" s="2">
        <f t="shared" si="1"/>
        <v>-3.6738126223050394E-2</v>
      </c>
    </row>
    <row r="124" spans="1:11" x14ac:dyDescent="0.35">
      <c r="A124">
        <v>1980</v>
      </c>
      <c r="B124" s="1">
        <f>DATE(_dat69[[#This Row],[Year]],_dat69[[#This Row],[Quarter]]*3-1,15)</f>
        <v>29448</v>
      </c>
      <c r="C124" s="2">
        <f>_dat69[[#This Row],[Year]]+(_dat69[[#This Row],[Quarter]]-1)/4+1/8</f>
        <v>1980.625</v>
      </c>
      <c r="D124" s="2">
        <f>_dat69[[#This Row],[DecDate]]^2</f>
        <v>3922875.390625</v>
      </c>
      <c r="E124">
        <v>3</v>
      </c>
      <c r="F124">
        <v>1360</v>
      </c>
      <c r="G124">
        <f>LN(_dat69[[#This Row],[Expenditure]])</f>
        <v>7.2152399787300974</v>
      </c>
      <c r="H124">
        <f>$P$40+_dat69[[#This Row],[DecDate]]*$P$41</f>
        <v>7.1749179950267941</v>
      </c>
      <c r="I124" s="2">
        <f>$P$17+$P$18*_dat69[[#This Row],[DecDate]]+$P$19*_dat69[[#This Row],[DecDate^2]]</f>
        <v>7.1990178956226885</v>
      </c>
      <c r="J124" s="2">
        <f>_dat69[[#This Row],[LOG(Expenditure 69)]]-_dat69[[#This Row],[Quadratic Trend LOG]]</f>
        <v>1.6222083107408913E-2</v>
      </c>
      <c r="K124" s="2">
        <f t="shared" si="1"/>
        <v>-2.9951064146824892E-2</v>
      </c>
    </row>
    <row r="125" spans="1:11" x14ac:dyDescent="0.35">
      <c r="A125">
        <v>1980</v>
      </c>
      <c r="B125" s="1">
        <f>DATE(_dat69[[#This Row],[Year]],_dat69[[#This Row],[Quarter]]*3-1,15)</f>
        <v>29540</v>
      </c>
      <c r="C125" s="2">
        <f>_dat69[[#This Row],[Year]]+(_dat69[[#This Row],[Quarter]]-1)/4+1/8</f>
        <v>1980.875</v>
      </c>
      <c r="D125" s="2">
        <f>_dat69[[#This Row],[DecDate]]^2</f>
        <v>3923865.765625</v>
      </c>
      <c r="E125">
        <v>4</v>
      </c>
      <c r="F125">
        <v>1276</v>
      </c>
      <c r="G125">
        <f>LN(_dat69[[#This Row],[Expenditure]])</f>
        <v>7.1514854639047352</v>
      </c>
      <c r="H125">
        <f>$P$40+_dat69[[#This Row],[DecDate]]*$P$41</f>
        <v>7.1763457351545021</v>
      </c>
      <c r="I125" s="2">
        <f>$P$17+$P$18*_dat69[[#This Row],[DecDate]]+$P$19*_dat69[[#This Row],[DecDate^2]]</f>
        <v>7.2005900603242026</v>
      </c>
      <c r="J125" s="2">
        <f>_dat69[[#This Row],[LOG(Expenditure 69)]]-_dat69[[#This Row],[Quadratic Trend LOG]]</f>
        <v>-4.9104596419467406E-2</v>
      </c>
      <c r="K125" s="2">
        <f t="shared" si="1"/>
        <v>-1.3266022947447453E-2</v>
      </c>
    </row>
    <row r="126" spans="1:11" x14ac:dyDescent="0.35">
      <c r="A126">
        <v>1981</v>
      </c>
      <c r="B126" s="1">
        <f>DATE(_dat69[[#This Row],[Year]],_dat69[[#This Row],[Quarter]]*3-1,15)</f>
        <v>29632</v>
      </c>
      <c r="C126" s="2">
        <f>_dat69[[#This Row],[Year]]+(_dat69[[#This Row],[Quarter]]-1)/4+1/8</f>
        <v>1981.125</v>
      </c>
      <c r="D126" s="2">
        <f>_dat69[[#This Row],[DecDate]]^2</f>
        <v>3924856.265625</v>
      </c>
      <c r="E126">
        <v>1</v>
      </c>
      <c r="F126">
        <v>1318</v>
      </c>
      <c r="G126">
        <f>LN(_dat69[[#This Row],[Expenditure]])</f>
        <v>7.1838707150624526</v>
      </c>
      <c r="H126">
        <f>$P$40+_dat69[[#This Row],[DecDate]]*$P$41</f>
        <v>7.1777734752822102</v>
      </c>
      <c r="I126" s="2">
        <f>$P$17+$P$18*_dat69[[#This Row],[DecDate]]+$P$19*_dat69[[#This Row],[DecDate^2]]</f>
        <v>7.2021546237324401</v>
      </c>
      <c r="J126" s="2">
        <f>_dat69[[#This Row],[LOG(Expenditure 69)]]-_dat69[[#This Row],[Quadratic Trend LOG]]</f>
        <v>-1.8283908669987525E-2</v>
      </c>
      <c r="K126" s="2">
        <f t="shared" si="1"/>
        <v>-9.8055789757456324E-3</v>
      </c>
    </row>
    <row r="127" spans="1:11" x14ac:dyDescent="0.35">
      <c r="A127">
        <v>1981</v>
      </c>
      <c r="B127" s="1">
        <f>DATE(_dat69[[#This Row],[Year]],_dat69[[#This Row],[Quarter]]*3-1,15)</f>
        <v>29721</v>
      </c>
      <c r="C127" s="2">
        <f>_dat69[[#This Row],[Year]]+(_dat69[[#This Row],[Quarter]]-1)/4+1/8</f>
        <v>1981.375</v>
      </c>
      <c r="D127" s="2">
        <f>_dat69[[#This Row],[DecDate]]^2</f>
        <v>3925846.890625</v>
      </c>
      <c r="E127">
        <v>2</v>
      </c>
      <c r="F127">
        <v>1364</v>
      </c>
      <c r="G127">
        <f>LN(_dat69[[#This Row],[Expenditure]])</f>
        <v>7.2181768384034077</v>
      </c>
      <c r="H127">
        <f>$P$40+_dat69[[#This Row],[DecDate]]*$P$41</f>
        <v>7.1792012154099183</v>
      </c>
      <c r="I127" s="2">
        <f>$P$17+$P$18*_dat69[[#This Row],[DecDate]]+$P$19*_dat69[[#This Row],[DecDate^2]]</f>
        <v>7.2037115858472305</v>
      </c>
      <c r="J127" s="2">
        <f>_dat69[[#This Row],[LOG(Expenditure 69)]]-_dat69[[#This Row],[Quadratic Trend LOG]]</f>
        <v>1.4465252556177255E-2</v>
      </c>
      <c r="K127" s="2">
        <f t="shared" si="1"/>
        <v>-2.8070834743207308E-2</v>
      </c>
    </row>
    <row r="128" spans="1:11" x14ac:dyDescent="0.35">
      <c r="A128">
        <v>1981</v>
      </c>
      <c r="B128" s="1">
        <f>DATE(_dat69[[#This Row],[Year]],_dat69[[#This Row],[Quarter]]*3-1,15)</f>
        <v>29813</v>
      </c>
      <c r="C128" s="2">
        <f>_dat69[[#This Row],[Year]]+(_dat69[[#This Row],[Quarter]]-1)/4+1/8</f>
        <v>1981.625</v>
      </c>
      <c r="D128" s="2">
        <f>_dat69[[#This Row],[DecDate]]^2</f>
        <v>3926837.640625</v>
      </c>
      <c r="E128">
        <v>3</v>
      </c>
      <c r="F128">
        <v>1330</v>
      </c>
      <c r="G128">
        <f>LN(_dat69[[#This Row],[Expenditure]])</f>
        <v>7.1929342212157996</v>
      </c>
      <c r="H128">
        <f>$P$40+_dat69[[#This Row],[DecDate]]*$P$41</f>
        <v>7.1806289555376246</v>
      </c>
      <c r="I128" s="2">
        <f>$P$17+$P$18*_dat69[[#This Row],[DecDate]]+$P$19*_dat69[[#This Row],[DecDate^2]]</f>
        <v>7.205260946668659</v>
      </c>
      <c r="J128" s="2">
        <f>_dat69[[#This Row],[LOG(Expenditure 69)]]-_dat69[[#This Row],[Quadratic Trend LOG]]</f>
        <v>-1.2326725452859399E-2</v>
      </c>
      <c r="K128" s="2">
        <f t="shared" si="1"/>
        <v>-1.8641830051166507E-2</v>
      </c>
    </row>
    <row r="129" spans="1:11" x14ac:dyDescent="0.35">
      <c r="A129">
        <v>1981</v>
      </c>
      <c r="B129" s="1">
        <f>DATE(_dat69[[#This Row],[Year]],_dat69[[#This Row],[Quarter]]*3-1,15)</f>
        <v>29905</v>
      </c>
      <c r="C129" s="2">
        <f>_dat69[[#This Row],[Year]]+(_dat69[[#This Row],[Quarter]]-1)/4+1/8</f>
        <v>1981.875</v>
      </c>
      <c r="D129" s="2">
        <f>_dat69[[#This Row],[DecDate]]^2</f>
        <v>3927828.515625</v>
      </c>
      <c r="E129">
        <v>4</v>
      </c>
      <c r="F129">
        <v>1251</v>
      </c>
      <c r="G129">
        <f>LN(_dat69[[#This Row],[Expenditure]])</f>
        <v>7.1316985104669115</v>
      </c>
      <c r="H129">
        <f>$P$40+_dat69[[#This Row],[DecDate]]*$P$41</f>
        <v>7.1820566956653327</v>
      </c>
      <c r="I129" s="2">
        <f>$P$17+$P$18*_dat69[[#This Row],[DecDate]]+$P$19*_dat69[[#This Row],[DecDate^2]]</f>
        <v>7.206802706196811</v>
      </c>
      <c r="J129" s="2">
        <f>_dat69[[#This Row],[LOG(Expenditure 69)]]-_dat69[[#This Row],[Quadratic Trend LOG]]</f>
        <v>-7.5104195729899459E-2</v>
      </c>
      <c r="K129" s="2">
        <f t="shared" si="1"/>
        <v>-8.112229471076482E-3</v>
      </c>
    </row>
    <row r="130" spans="1:11" x14ac:dyDescent="0.35">
      <c r="A130">
        <v>1982</v>
      </c>
      <c r="B130" s="1">
        <f>DATE(_dat69[[#This Row],[Year]],_dat69[[#This Row],[Quarter]]*3-1,15)</f>
        <v>29997</v>
      </c>
      <c r="C130" s="2">
        <f>_dat69[[#This Row],[Year]]+(_dat69[[#This Row],[Quarter]]-1)/4+1/8</f>
        <v>1982.125</v>
      </c>
      <c r="D130" s="2">
        <f>_dat69[[#This Row],[DecDate]]^2</f>
        <v>3928819.515625</v>
      </c>
      <c r="E130">
        <v>1</v>
      </c>
      <c r="F130">
        <v>1348</v>
      </c>
      <c r="G130">
        <f>LN(_dat69[[#This Row],[Expenditure]])</f>
        <v>7.2063772914722524</v>
      </c>
      <c r="H130">
        <f>$P$40+_dat69[[#This Row],[DecDate]]*$P$41</f>
        <v>7.1834844357930407</v>
      </c>
      <c r="I130" s="2">
        <f>$P$17+$P$18*_dat69[[#This Row],[DecDate]]+$P$19*_dat69[[#This Row],[DecDate^2]]</f>
        <v>7.2083368644315158</v>
      </c>
      <c r="J130" s="2">
        <f>_dat69[[#This Row],[LOG(Expenditure 69)]]-_dat69[[#This Row],[Quadratic Trend LOG]]</f>
        <v>-1.9595729592634115E-3</v>
      </c>
      <c r="K130" s="2">
        <f t="shared" si="1"/>
        <v>-2.587678849597097E-3</v>
      </c>
    </row>
    <row r="131" spans="1:11" x14ac:dyDescent="0.35">
      <c r="A131">
        <v>1982</v>
      </c>
      <c r="B131" s="1">
        <f>DATE(_dat69[[#This Row],[Year]],_dat69[[#This Row],[Quarter]]*3-1,15)</f>
        <v>30086</v>
      </c>
      <c r="C131" s="2">
        <f>_dat69[[#This Row],[Year]]+(_dat69[[#This Row],[Quarter]]-1)/4+1/8</f>
        <v>1982.375</v>
      </c>
      <c r="D131" s="2">
        <f>_dat69[[#This Row],[DecDate]]^2</f>
        <v>3929810.640625</v>
      </c>
      <c r="E131">
        <v>2</v>
      </c>
      <c r="F131">
        <v>1400</v>
      </c>
      <c r="G131">
        <f>LN(_dat69[[#This Row],[Expenditure]])</f>
        <v>7.2442275156033498</v>
      </c>
      <c r="H131">
        <f>$P$40+_dat69[[#This Row],[DecDate]]*$P$41</f>
        <v>7.1849121759207488</v>
      </c>
      <c r="I131" s="2">
        <f>$P$17+$P$18*_dat69[[#This Row],[DecDate]]+$P$19*_dat69[[#This Row],[DecDate^2]]</f>
        <v>7.2098634213728872</v>
      </c>
      <c r="J131" s="2">
        <f>_dat69[[#This Row],[LOG(Expenditure 69)]]-_dat69[[#This Row],[Quadratic Trend LOG]]</f>
        <v>3.4364094230462605E-2</v>
      </c>
      <c r="K131" s="2">
        <f t="shared" si="1"/>
        <v>-5.4722191296747271E-3</v>
      </c>
    </row>
    <row r="132" spans="1:11" x14ac:dyDescent="0.35">
      <c r="A132">
        <v>1982</v>
      </c>
      <c r="B132" s="1">
        <f>DATE(_dat69[[#This Row],[Year]],_dat69[[#This Row],[Quarter]]*3-1,15)</f>
        <v>30178</v>
      </c>
      <c r="C132" s="2">
        <f>_dat69[[#This Row],[Year]]+(_dat69[[#This Row],[Quarter]]-1)/4+1/8</f>
        <v>1982.625</v>
      </c>
      <c r="D132" s="2">
        <f>_dat69[[#This Row],[DecDate]]^2</f>
        <v>3930801.890625</v>
      </c>
      <c r="E132">
        <v>3</v>
      </c>
      <c r="F132">
        <v>1413</v>
      </c>
      <c r="G132">
        <f>LN(_dat69[[#This Row],[Expenditure]])</f>
        <v>7.2534703826845277</v>
      </c>
      <c r="H132">
        <f>$P$40+_dat69[[#This Row],[DecDate]]*$P$41</f>
        <v>7.1863399160484569</v>
      </c>
      <c r="I132" s="2">
        <f>$P$17+$P$18*_dat69[[#This Row],[DecDate]]+$P$19*_dat69[[#This Row],[DecDate^2]]</f>
        <v>7.2113823770209535</v>
      </c>
      <c r="J132" s="2">
        <f>_dat69[[#This Row],[LOG(Expenditure 69)]]-_dat69[[#This Row],[Quadratic Trend LOG]]</f>
        <v>4.2088005663574179E-2</v>
      </c>
      <c r="K132" s="2">
        <f t="shared" si="1"/>
        <v>1.1036288186623189E-2</v>
      </c>
    </row>
    <row r="133" spans="1:11" x14ac:dyDescent="0.35">
      <c r="A133">
        <v>1982</v>
      </c>
      <c r="B133" s="1">
        <f>DATE(_dat69[[#This Row],[Year]],_dat69[[#This Row],[Quarter]]*3-1,15)</f>
        <v>30270</v>
      </c>
      <c r="C133" s="2">
        <f>_dat69[[#This Row],[Year]]+(_dat69[[#This Row],[Quarter]]-1)/4+1/8</f>
        <v>1982.875</v>
      </c>
      <c r="D133" s="2">
        <f>_dat69[[#This Row],[DecDate]]^2</f>
        <v>3931793.265625</v>
      </c>
      <c r="E133">
        <v>4</v>
      </c>
      <c r="F133">
        <v>1321</v>
      </c>
      <c r="G133">
        <f>LN(_dat69[[#This Row],[Expenditure]])</f>
        <v>7.1861443045223252</v>
      </c>
      <c r="H133">
        <f>$P$40+_dat69[[#This Row],[DecDate]]*$P$41</f>
        <v>7.1877676561761632</v>
      </c>
      <c r="I133" s="2">
        <f>$P$17+$P$18*_dat69[[#This Row],[DecDate]]+$P$19*_dat69[[#This Row],[DecDate^2]]</f>
        <v>7.2128937313755728</v>
      </c>
      <c r="J133" s="2">
        <f>_dat69[[#This Row],[LOG(Expenditure 69)]]-_dat69[[#This Row],[Quadratic Trend LOG]]</f>
        <v>-2.6749426853247549E-2</v>
      </c>
      <c r="K133" s="2">
        <f t="shared" ref="K133:K196" si="2">AVERAGE(J131:J135)</f>
        <v>1.5373303750858014E-2</v>
      </c>
    </row>
    <row r="134" spans="1:11" x14ac:dyDescent="0.35">
      <c r="A134">
        <v>1983</v>
      </c>
      <c r="B134" s="1">
        <f>DATE(_dat69[[#This Row],[Year]],_dat69[[#This Row],[Quarter]]*3-1,15)</f>
        <v>30362</v>
      </c>
      <c r="C134" s="2">
        <f>_dat69[[#This Row],[Year]]+(_dat69[[#This Row],[Quarter]]-1)/4+1/8</f>
        <v>1983.125</v>
      </c>
      <c r="D134" s="2">
        <f>_dat69[[#This Row],[DecDate]]^2</f>
        <v>3932784.765625</v>
      </c>
      <c r="E134">
        <v>1</v>
      </c>
      <c r="F134">
        <v>1369</v>
      </c>
      <c r="G134">
        <f>LN(_dat69[[#This Row],[Expenditure]])</f>
        <v>7.2218358252884487</v>
      </c>
      <c r="H134">
        <f>$P$40+_dat69[[#This Row],[DecDate]]*$P$41</f>
        <v>7.1891953963038713</v>
      </c>
      <c r="I134" s="2">
        <f>$P$17+$P$18*_dat69[[#This Row],[DecDate]]+$P$19*_dat69[[#This Row],[DecDate^2]]</f>
        <v>7.2143974844368586</v>
      </c>
      <c r="J134" s="2">
        <f>_dat69[[#This Row],[LOG(Expenditure 69)]]-_dat69[[#This Row],[Quadratic Trend LOG]]</f>
        <v>7.4383408515901195E-3</v>
      </c>
      <c r="K134" s="2">
        <f t="shared" si="2"/>
        <v>1.8808073207629582E-2</v>
      </c>
    </row>
    <row r="135" spans="1:11" x14ac:dyDescent="0.35">
      <c r="A135">
        <v>1983</v>
      </c>
      <c r="B135" s="1">
        <f>DATE(_dat69[[#This Row],[Year]],_dat69[[#This Row],[Quarter]]*3-1,15)</f>
        <v>30451</v>
      </c>
      <c r="C135" s="2">
        <f>_dat69[[#This Row],[Year]]+(_dat69[[#This Row],[Quarter]]-1)/4+1/8</f>
        <v>1983.375</v>
      </c>
      <c r="D135" s="2">
        <f>_dat69[[#This Row],[DecDate]]^2</f>
        <v>3933776.390625</v>
      </c>
      <c r="E135">
        <v>2</v>
      </c>
      <c r="F135">
        <v>1388</v>
      </c>
      <c r="G135">
        <f>LN(_dat69[[#This Row],[Expenditure]])</f>
        <v>7.2356191410667501</v>
      </c>
      <c r="H135">
        <f>$P$40+_dat69[[#This Row],[DecDate]]*$P$41</f>
        <v>7.1906231364315794</v>
      </c>
      <c r="I135" s="2">
        <f>$P$17+$P$18*_dat69[[#This Row],[DecDate]]+$P$19*_dat69[[#This Row],[DecDate^2]]</f>
        <v>7.2158936362048394</v>
      </c>
      <c r="J135" s="2">
        <f>_dat69[[#This Row],[LOG(Expenditure 69)]]-_dat69[[#This Row],[Quadratic Trend LOG]]</f>
        <v>1.9725504861910714E-2</v>
      </c>
      <c r="K135" s="2">
        <f t="shared" si="2"/>
        <v>-4.1852615543337638E-3</v>
      </c>
    </row>
    <row r="136" spans="1:11" x14ac:dyDescent="0.35">
      <c r="A136">
        <v>1983</v>
      </c>
      <c r="B136" s="1">
        <f>DATE(_dat69[[#This Row],[Year]],_dat69[[#This Row],[Quarter]]*3-1,15)</f>
        <v>30543</v>
      </c>
      <c r="C136" s="2">
        <f>_dat69[[#This Row],[Year]]+(_dat69[[#This Row],[Quarter]]-1)/4+1/8</f>
        <v>1983.625</v>
      </c>
      <c r="D136" s="2">
        <f>_dat69[[#This Row],[DecDate]]^2</f>
        <v>3934768.140625</v>
      </c>
      <c r="E136">
        <v>3</v>
      </c>
      <c r="F136">
        <v>1435</v>
      </c>
      <c r="G136">
        <f>LN(_dat69[[#This Row],[Expenditure]])</f>
        <v>7.2689201281937219</v>
      </c>
      <c r="H136">
        <f>$P$40+_dat69[[#This Row],[DecDate]]*$P$41</f>
        <v>7.1920508765592874</v>
      </c>
      <c r="I136" s="2">
        <f>$P$17+$P$18*_dat69[[#This Row],[DecDate]]+$P$19*_dat69[[#This Row],[DecDate^2]]</f>
        <v>7.2173821866794015</v>
      </c>
      <c r="J136" s="2">
        <f>_dat69[[#This Row],[LOG(Expenditure 69)]]-_dat69[[#This Row],[Quadratic Trend LOG]]</f>
        <v>5.1537941514320451E-2</v>
      </c>
      <c r="K136" s="2">
        <f t="shared" si="2"/>
        <v>9.4827456071609369E-3</v>
      </c>
    </row>
    <row r="137" spans="1:11" x14ac:dyDescent="0.35">
      <c r="A137">
        <v>1983</v>
      </c>
      <c r="B137" s="1">
        <f>DATE(_dat69[[#This Row],[Year]],_dat69[[#This Row],[Quarter]]*3-1,15)</f>
        <v>30635</v>
      </c>
      <c r="C137" s="2">
        <f>_dat69[[#This Row],[Year]]+(_dat69[[#This Row],[Quarter]]-1)/4+1/8</f>
        <v>1983.875</v>
      </c>
      <c r="D137" s="2">
        <f>_dat69[[#This Row],[DecDate]]^2</f>
        <v>3935760.015625</v>
      </c>
      <c r="E137">
        <v>4</v>
      </c>
      <c r="F137">
        <v>1269</v>
      </c>
      <c r="G137">
        <f>LN(_dat69[[#This Row],[Expenditure]])</f>
        <v>7.1459844677143876</v>
      </c>
      <c r="H137">
        <f>$P$40+_dat69[[#This Row],[DecDate]]*$P$41</f>
        <v>7.1934786166869955</v>
      </c>
      <c r="I137" s="2">
        <f>$P$17+$P$18*_dat69[[#This Row],[DecDate]]+$P$19*_dat69[[#This Row],[DecDate^2]]</f>
        <v>7.2188631358606301</v>
      </c>
      <c r="J137" s="2">
        <f>_dat69[[#This Row],[LOG(Expenditure 69)]]-_dat69[[#This Row],[Quadratic Trend LOG]]</f>
        <v>-7.2878668146242553E-2</v>
      </c>
      <c r="K137" s="2">
        <f t="shared" si="2"/>
        <v>1.0181258603765463E-2</v>
      </c>
    </row>
    <row r="138" spans="1:11" x14ac:dyDescent="0.35">
      <c r="A138">
        <v>1984</v>
      </c>
      <c r="B138" s="1">
        <f>DATE(_dat69[[#This Row],[Year]],_dat69[[#This Row],[Quarter]]*3-1,15)</f>
        <v>30727</v>
      </c>
      <c r="C138" s="2">
        <f>_dat69[[#This Row],[Year]]+(_dat69[[#This Row],[Quarter]]-1)/4+1/8</f>
        <v>1984.125</v>
      </c>
      <c r="D138" s="2">
        <f>_dat69[[#This Row],[DecDate]]^2</f>
        <v>3936752.015625</v>
      </c>
      <c r="E138">
        <v>1</v>
      </c>
      <c r="F138">
        <v>1425</v>
      </c>
      <c r="G138">
        <f>LN(_dat69[[#This Row],[Expenditure]])</f>
        <v>7.2619270927027513</v>
      </c>
      <c r="H138">
        <f>$P$40+_dat69[[#This Row],[DecDate]]*$P$41</f>
        <v>7.1949063568147036</v>
      </c>
      <c r="I138" s="2">
        <f>$P$17+$P$18*_dat69[[#This Row],[DecDate]]+$P$19*_dat69[[#This Row],[DecDate^2]]</f>
        <v>7.2203364837485253</v>
      </c>
      <c r="J138" s="2">
        <f>_dat69[[#This Row],[LOG(Expenditure 69)]]-_dat69[[#This Row],[Quadratic Trend LOG]]</f>
        <v>4.1590608954225949E-2</v>
      </c>
      <c r="K138" s="2">
        <f t="shared" si="2"/>
        <v>8.8519510534231568E-3</v>
      </c>
    </row>
    <row r="139" spans="1:11" x14ac:dyDescent="0.35">
      <c r="A139">
        <v>1984</v>
      </c>
      <c r="B139" s="1">
        <f>DATE(_dat69[[#This Row],[Year]],_dat69[[#This Row],[Quarter]]*3-1,15)</f>
        <v>30817</v>
      </c>
      <c r="C139" s="2">
        <f>_dat69[[#This Row],[Year]]+(_dat69[[#This Row],[Quarter]]-1)/4+1/8</f>
        <v>1984.375</v>
      </c>
      <c r="D139" s="2">
        <f>_dat69[[#This Row],[DecDate]]^2</f>
        <v>3937744.140625</v>
      </c>
      <c r="E139">
        <v>2</v>
      </c>
      <c r="F139">
        <v>1384</v>
      </c>
      <c r="G139">
        <f>LN(_dat69[[#This Row],[Expenditure]])</f>
        <v>7.2327331361776146</v>
      </c>
      <c r="H139">
        <f>$P$40+_dat69[[#This Row],[DecDate]]*$P$41</f>
        <v>7.1963340969424099</v>
      </c>
      <c r="I139" s="2">
        <f>$P$17+$P$18*_dat69[[#This Row],[DecDate]]+$P$19*_dat69[[#This Row],[DecDate^2]]</f>
        <v>7.2218022303430018</v>
      </c>
      <c r="J139" s="2">
        <f>_dat69[[#This Row],[LOG(Expenditure 69)]]-_dat69[[#This Row],[Quadratic Trend LOG]]</f>
        <v>1.0930905834612759E-2</v>
      </c>
      <c r="K139" s="2">
        <f t="shared" si="2"/>
        <v>-1.0994067997851787E-2</v>
      </c>
    </row>
    <row r="140" spans="1:11" x14ac:dyDescent="0.35">
      <c r="A140">
        <v>1984</v>
      </c>
      <c r="B140" s="1">
        <f>DATE(_dat69[[#This Row],[Year]],_dat69[[#This Row],[Quarter]]*3-1,15)</f>
        <v>30909</v>
      </c>
      <c r="C140" s="2">
        <f>_dat69[[#This Row],[Year]]+(_dat69[[#This Row],[Quarter]]-1)/4+1/8</f>
        <v>1984.625</v>
      </c>
      <c r="D140" s="2">
        <f>_dat69[[#This Row],[DecDate]]^2</f>
        <v>3938736.390625</v>
      </c>
      <c r="E140">
        <v>3</v>
      </c>
      <c r="F140">
        <v>1389</v>
      </c>
      <c r="G140">
        <f>LN(_dat69[[#This Row],[Expenditure]])</f>
        <v>7.2363393427543441</v>
      </c>
      <c r="H140">
        <f>$P$40+_dat69[[#This Row],[DecDate]]*$P$41</f>
        <v>7.197761837070118</v>
      </c>
      <c r="I140" s="2">
        <f>$P$17+$P$18*_dat69[[#This Row],[DecDate]]+$P$19*_dat69[[#This Row],[DecDate^2]]</f>
        <v>7.2232603756441449</v>
      </c>
      <c r="J140" s="2">
        <f>_dat69[[#This Row],[LOG(Expenditure 69)]]-_dat69[[#This Row],[Quadratic Trend LOG]]</f>
        <v>1.307896711019918E-2</v>
      </c>
      <c r="K140" s="2">
        <f t="shared" si="2"/>
        <v>1.5458936884151341E-3</v>
      </c>
    </row>
    <row r="141" spans="1:11" x14ac:dyDescent="0.35">
      <c r="A141">
        <v>1984</v>
      </c>
      <c r="B141" s="1">
        <f>DATE(_dat69[[#This Row],[Year]],_dat69[[#This Row],[Quarter]]*3-1,15)</f>
        <v>31001</v>
      </c>
      <c r="C141" s="2">
        <f>_dat69[[#This Row],[Year]]+(_dat69[[#This Row],[Quarter]]-1)/4+1/8</f>
        <v>1984.875</v>
      </c>
      <c r="D141" s="2">
        <f>_dat69[[#This Row],[DecDate]]^2</f>
        <v>3939728.765625</v>
      </c>
      <c r="E141">
        <v>4</v>
      </c>
      <c r="F141">
        <v>1309</v>
      </c>
      <c r="G141">
        <f>LN(_dat69[[#This Row],[Expenditure]])</f>
        <v>7.1770187659099003</v>
      </c>
      <c r="H141">
        <f>$P$40+_dat69[[#This Row],[DecDate]]*$P$41</f>
        <v>7.199189577197826</v>
      </c>
      <c r="I141" s="2">
        <f>$P$17+$P$18*_dat69[[#This Row],[DecDate]]+$P$19*_dat69[[#This Row],[DecDate^2]]</f>
        <v>7.2247109196519546</v>
      </c>
      <c r="J141" s="2">
        <f>_dat69[[#This Row],[LOG(Expenditure 69)]]-_dat69[[#This Row],[Quadratic Trend LOG]]</f>
        <v>-4.7692153742054266E-2</v>
      </c>
      <c r="K141" s="2">
        <f t="shared" si="2"/>
        <v>-1.1460210452722741E-2</v>
      </c>
    </row>
    <row r="142" spans="1:11" x14ac:dyDescent="0.35">
      <c r="A142">
        <v>1985</v>
      </c>
      <c r="B142" s="1">
        <f>DATE(_dat69[[#This Row],[Year]],_dat69[[#This Row],[Quarter]]*3-1,15)</f>
        <v>31093</v>
      </c>
      <c r="C142" s="2">
        <f>_dat69[[#This Row],[Year]]+(_dat69[[#This Row],[Quarter]]-1)/4+1/8</f>
        <v>1985.125</v>
      </c>
      <c r="D142" s="2">
        <f>_dat69[[#This Row],[DecDate]]^2</f>
        <v>3940721.265625</v>
      </c>
      <c r="E142">
        <v>1</v>
      </c>
      <c r="F142">
        <v>1361</v>
      </c>
      <c r="G142">
        <f>LN(_dat69[[#This Row],[Expenditure]])</f>
        <v>7.215975002651466</v>
      </c>
      <c r="H142">
        <f>$P$40+_dat69[[#This Row],[DecDate]]*$P$41</f>
        <v>7.2006173173255341</v>
      </c>
      <c r="I142" s="2">
        <f>$P$17+$P$18*_dat69[[#This Row],[DecDate]]+$P$19*_dat69[[#This Row],[DecDate^2]]</f>
        <v>7.2261538623663739</v>
      </c>
      <c r="J142" s="2">
        <f>_dat69[[#This Row],[LOG(Expenditure 69)]]-_dat69[[#This Row],[Quadratic Trend LOG]]</f>
        <v>-1.0178859714907951E-2</v>
      </c>
      <c r="K142" s="2">
        <f t="shared" si="2"/>
        <v>-3.0276585282003056E-4</v>
      </c>
    </row>
    <row r="143" spans="1:11" x14ac:dyDescent="0.35">
      <c r="A143">
        <v>1985</v>
      </c>
      <c r="B143" s="1">
        <f>DATE(_dat69[[#This Row],[Year]],_dat69[[#This Row],[Quarter]]*3-1,15)</f>
        <v>31182</v>
      </c>
      <c r="C143" s="2">
        <f>_dat69[[#This Row],[Year]]+(_dat69[[#This Row],[Quarter]]-1)/4+1/8</f>
        <v>1985.375</v>
      </c>
      <c r="D143" s="2">
        <f>_dat69[[#This Row],[DecDate]]^2</f>
        <v>3941713.890625</v>
      </c>
      <c r="E143">
        <v>2</v>
      </c>
      <c r="F143">
        <v>1345</v>
      </c>
      <c r="G143">
        <f>LN(_dat69[[#This Row],[Expenditure]])</f>
        <v>7.2041492920359396</v>
      </c>
      <c r="H143">
        <f>$P$40+_dat69[[#This Row],[DecDate]]*$P$41</f>
        <v>7.2020450574532422</v>
      </c>
      <c r="I143" s="2">
        <f>$P$17+$P$18*_dat69[[#This Row],[DecDate]]+$P$19*_dat69[[#This Row],[DecDate^2]]</f>
        <v>7.227589203787403</v>
      </c>
      <c r="J143" s="2">
        <f>_dat69[[#This Row],[LOG(Expenditure 69)]]-_dat69[[#This Row],[Quadratic Trend LOG]]</f>
        <v>-2.3439911751463427E-2</v>
      </c>
      <c r="K143" s="2">
        <f t="shared" si="2"/>
        <v>-6.9900501906001722E-3</v>
      </c>
    </row>
    <row r="144" spans="1:11" x14ac:dyDescent="0.35">
      <c r="A144">
        <v>1985</v>
      </c>
      <c r="B144" s="1">
        <f>DATE(_dat69[[#This Row],[Year]],_dat69[[#This Row],[Quarter]]*3-1,15)</f>
        <v>31274</v>
      </c>
      <c r="C144" s="2">
        <f>_dat69[[#This Row],[Year]]+(_dat69[[#This Row],[Quarter]]-1)/4+1/8</f>
        <v>1985.625</v>
      </c>
      <c r="D144" s="2">
        <f>_dat69[[#This Row],[DecDate]]^2</f>
        <v>3942706.640625</v>
      </c>
      <c r="E144">
        <v>3</v>
      </c>
      <c r="F144">
        <v>1474</v>
      </c>
      <c r="G144">
        <f>LN(_dat69[[#This Row],[Expenditure]])</f>
        <v>7.2957350727492818</v>
      </c>
      <c r="H144">
        <f>$P$40+_dat69[[#This Row],[DecDate]]*$P$41</f>
        <v>7.2034727975809503</v>
      </c>
      <c r="I144" s="2">
        <f>$P$17+$P$18*_dat69[[#This Row],[DecDate]]+$P$19*_dat69[[#This Row],[DecDate^2]]</f>
        <v>7.2290169439151555</v>
      </c>
      <c r="J144" s="2">
        <f>_dat69[[#This Row],[LOG(Expenditure 69)]]-_dat69[[#This Row],[Quadratic Trend LOG]]</f>
        <v>6.6718128834126311E-2</v>
      </c>
      <c r="K144" s="2">
        <f t="shared" si="2"/>
        <v>-3.8858743620471259E-3</v>
      </c>
    </row>
    <row r="145" spans="1:11" x14ac:dyDescent="0.35">
      <c r="A145">
        <v>1985</v>
      </c>
      <c r="B145" s="1">
        <f>DATE(_dat69[[#This Row],[Year]],_dat69[[#This Row],[Quarter]]*3-1,15)</f>
        <v>31366</v>
      </c>
      <c r="C145" s="2">
        <f>_dat69[[#This Row],[Year]]+(_dat69[[#This Row],[Quarter]]-1)/4+1/8</f>
        <v>1985.875</v>
      </c>
      <c r="D145" s="2">
        <f>_dat69[[#This Row],[DecDate]]^2</f>
        <v>3943699.515625</v>
      </c>
      <c r="E145">
        <v>4</v>
      </c>
      <c r="F145">
        <v>1353</v>
      </c>
      <c r="G145">
        <f>LN(_dat69[[#This Row],[Expenditure]])</f>
        <v>7.2100796281707877</v>
      </c>
      <c r="H145">
        <f>$P$40+_dat69[[#This Row],[DecDate]]*$P$41</f>
        <v>7.2049005377086566</v>
      </c>
      <c r="I145" s="2">
        <f>$P$17+$P$18*_dat69[[#This Row],[DecDate]]+$P$19*_dat69[[#This Row],[DecDate^2]]</f>
        <v>7.2304370827494893</v>
      </c>
      <c r="J145" s="2">
        <f>_dat69[[#This Row],[LOG(Expenditure 69)]]-_dat69[[#This Row],[Quadratic Trend LOG]]</f>
        <v>-2.0357454578701528E-2</v>
      </c>
      <c r="K145" s="2">
        <f t="shared" si="2"/>
        <v>6.2562498422877866E-3</v>
      </c>
    </row>
    <row r="146" spans="1:11" x14ac:dyDescent="0.35">
      <c r="A146">
        <v>1986</v>
      </c>
      <c r="B146" s="1">
        <f>DATE(_dat69[[#This Row],[Year]],_dat69[[#This Row],[Quarter]]*3-1,15)</f>
        <v>31458</v>
      </c>
      <c r="C146" s="2">
        <f>_dat69[[#This Row],[Year]]+(_dat69[[#This Row],[Quarter]]-1)/4+1/8</f>
        <v>1986.125</v>
      </c>
      <c r="D146" s="2">
        <f>_dat69[[#This Row],[DecDate]]^2</f>
        <v>3944692.515625</v>
      </c>
      <c r="E146">
        <v>1</v>
      </c>
      <c r="F146">
        <v>1339</v>
      </c>
      <c r="G146">
        <f>LN(_dat69[[#This Row],[Expenditure]])</f>
        <v>7.1996783456911722</v>
      </c>
      <c r="H146">
        <f>$P$40+_dat69[[#This Row],[DecDate]]*$P$41</f>
        <v>7.2063282778363646</v>
      </c>
      <c r="I146" s="2">
        <f>$P$17+$P$18*_dat69[[#This Row],[DecDate]]+$P$19*_dat69[[#This Row],[DecDate^2]]</f>
        <v>7.2318496202904612</v>
      </c>
      <c r="J146" s="2">
        <f>_dat69[[#This Row],[LOG(Expenditure 69)]]-_dat69[[#This Row],[Quadratic Trend LOG]]</f>
        <v>-3.2171274599289035E-2</v>
      </c>
      <c r="K146" s="2">
        <f t="shared" si="2"/>
        <v>1.0704937618393019E-2</v>
      </c>
    </row>
    <row r="147" spans="1:11" x14ac:dyDescent="0.35">
      <c r="A147">
        <v>1986</v>
      </c>
      <c r="B147" s="1">
        <f>DATE(_dat69[[#This Row],[Year]],_dat69[[#This Row],[Quarter]]*3-1,15)</f>
        <v>31547</v>
      </c>
      <c r="C147" s="2">
        <f>_dat69[[#This Row],[Year]]+(_dat69[[#This Row],[Quarter]]-1)/4+1/8</f>
        <v>1986.375</v>
      </c>
      <c r="D147" s="2">
        <f>_dat69[[#This Row],[DecDate]]^2</f>
        <v>3945685.640625</v>
      </c>
      <c r="E147">
        <v>2</v>
      </c>
      <c r="F147">
        <v>1442</v>
      </c>
      <c r="G147">
        <f>LN(_dat69[[#This Row],[Expenditure]])</f>
        <v>7.2737863178448947</v>
      </c>
      <c r="H147">
        <f>$P$40+_dat69[[#This Row],[DecDate]]*$P$41</f>
        <v>7.2077560179640727</v>
      </c>
      <c r="I147" s="2">
        <f>$P$17+$P$18*_dat69[[#This Row],[DecDate]]+$P$19*_dat69[[#This Row],[DecDate^2]]</f>
        <v>7.2332545565381281</v>
      </c>
      <c r="J147" s="2">
        <f>_dat69[[#This Row],[LOG(Expenditure 69)]]-_dat69[[#This Row],[Quadratic Trend LOG]]</f>
        <v>4.0531761306766612E-2</v>
      </c>
      <c r="K147" s="2">
        <f t="shared" si="2"/>
        <v>2.5384053614654787E-3</v>
      </c>
    </row>
    <row r="148" spans="1:11" x14ac:dyDescent="0.35">
      <c r="A148">
        <v>1986</v>
      </c>
      <c r="B148" s="1">
        <f>DATE(_dat69[[#This Row],[Year]],_dat69[[#This Row],[Quarter]]*3-1,15)</f>
        <v>31639</v>
      </c>
      <c r="C148" s="2">
        <f>_dat69[[#This Row],[Year]]+(_dat69[[#This Row],[Quarter]]-1)/4+1/8</f>
        <v>1986.625</v>
      </c>
      <c r="D148" s="2">
        <f>_dat69[[#This Row],[DecDate]]^2</f>
        <v>3946678.890625</v>
      </c>
      <c r="E148">
        <v>3</v>
      </c>
      <c r="F148">
        <v>1385</v>
      </c>
      <c r="G148">
        <f>LN(_dat69[[#This Row],[Expenditure]])</f>
        <v>7.233455418621439</v>
      </c>
      <c r="H148">
        <f>$P$40+_dat69[[#This Row],[DecDate]]*$P$41</f>
        <v>7.2091837580917808</v>
      </c>
      <c r="I148" s="2">
        <f>$P$17+$P$18*_dat69[[#This Row],[DecDate]]+$P$19*_dat69[[#This Row],[DecDate^2]]</f>
        <v>7.2346518914923763</v>
      </c>
      <c r="J148" s="2">
        <f>_dat69[[#This Row],[LOG(Expenditure 69)]]-_dat69[[#This Row],[Quadratic Trend LOG]]</f>
        <v>-1.1964728709372707E-3</v>
      </c>
      <c r="K148" s="2">
        <f t="shared" si="2"/>
        <v>1.3604823287040624E-2</v>
      </c>
    </row>
    <row r="149" spans="1:11" x14ac:dyDescent="0.35">
      <c r="A149">
        <v>1986</v>
      </c>
      <c r="B149" s="1">
        <f>DATE(_dat69[[#This Row],[Year]],_dat69[[#This Row],[Quarter]]*3-1,15)</f>
        <v>31731</v>
      </c>
      <c r="C149" s="2">
        <f>_dat69[[#This Row],[Year]]+(_dat69[[#This Row],[Quarter]]-1)/4+1/8</f>
        <v>1986.875</v>
      </c>
      <c r="D149" s="2">
        <f>_dat69[[#This Row],[DecDate]]^2</f>
        <v>3947672.265625</v>
      </c>
      <c r="E149">
        <v>4</v>
      </c>
      <c r="F149">
        <v>1425</v>
      </c>
      <c r="G149">
        <f>LN(_dat69[[#This Row],[Expenditure]])</f>
        <v>7.2619270927027513</v>
      </c>
      <c r="H149">
        <f>$P$40+_dat69[[#This Row],[DecDate]]*$P$41</f>
        <v>7.2106114982194889</v>
      </c>
      <c r="I149" s="2">
        <f>$P$17+$P$18*_dat69[[#This Row],[DecDate]]+$P$19*_dat69[[#This Row],[DecDate^2]]</f>
        <v>7.2360416251532627</v>
      </c>
      <c r="J149" s="2">
        <f>_dat69[[#This Row],[LOG(Expenditure 69)]]-_dat69[[#This Row],[Quadratic Trend LOG]]</f>
        <v>2.5885467549488617E-2</v>
      </c>
      <c r="K149" s="2">
        <f t="shared" si="2"/>
        <v>1.4885752454865297E-2</v>
      </c>
    </row>
    <row r="150" spans="1:11" x14ac:dyDescent="0.35">
      <c r="A150">
        <v>1987</v>
      </c>
      <c r="B150" s="1">
        <f>DATE(_dat69[[#This Row],[Year]],_dat69[[#This Row],[Quarter]]*3-1,15)</f>
        <v>31823</v>
      </c>
      <c r="C150" s="2">
        <f>_dat69[[#This Row],[Year]]+(_dat69[[#This Row],[Quarter]]-1)/4+1/8</f>
        <v>1987.125</v>
      </c>
      <c r="D150" s="2">
        <f>_dat69[[#This Row],[DecDate]]^2</f>
        <v>3948665.765625</v>
      </c>
      <c r="E150">
        <v>1</v>
      </c>
      <c r="F150">
        <v>1440</v>
      </c>
      <c r="G150">
        <f>LN(_dat69[[#This Row],[Expenditure]])</f>
        <v>7.2723983925700466</v>
      </c>
      <c r="H150">
        <f>$P$40+_dat69[[#This Row],[DecDate]]*$P$41</f>
        <v>7.212039238347197</v>
      </c>
      <c r="I150" s="2">
        <f>$P$17+$P$18*_dat69[[#This Row],[DecDate]]+$P$19*_dat69[[#This Row],[DecDate^2]]</f>
        <v>7.2374237575208724</v>
      </c>
      <c r="J150" s="2">
        <f>_dat69[[#This Row],[LOG(Expenditure 69)]]-_dat69[[#This Row],[Quadratic Trend LOG]]</f>
        <v>3.4974635049174196E-2</v>
      </c>
      <c r="K150" s="2">
        <f t="shared" si="2"/>
        <v>1.266970643997869E-2</v>
      </c>
    </row>
    <row r="151" spans="1:11" x14ac:dyDescent="0.35">
      <c r="A151">
        <v>1987</v>
      </c>
      <c r="B151" s="1">
        <f>DATE(_dat69[[#This Row],[Year]],_dat69[[#This Row],[Quarter]]*3-1,15)</f>
        <v>31912</v>
      </c>
      <c r="C151" s="2">
        <f>_dat69[[#This Row],[Year]]+(_dat69[[#This Row],[Quarter]]-1)/4+1/8</f>
        <v>1987.375</v>
      </c>
      <c r="D151" s="2">
        <f>_dat69[[#This Row],[DecDate]]^2</f>
        <v>3949659.390625</v>
      </c>
      <c r="E151">
        <v>2</v>
      </c>
      <c r="F151">
        <v>1357</v>
      </c>
      <c r="G151">
        <f>LN(_dat69[[#This Row],[Expenditure]])</f>
        <v>7.2130316598348694</v>
      </c>
      <c r="H151">
        <f>$P$40+_dat69[[#This Row],[DecDate]]*$P$41</f>
        <v>7.2134669784749033</v>
      </c>
      <c r="I151" s="2">
        <f>$P$17+$P$18*_dat69[[#This Row],[DecDate]]+$P$19*_dat69[[#This Row],[DecDate^2]]</f>
        <v>7.238798288595035</v>
      </c>
      <c r="J151" s="2">
        <f>_dat69[[#This Row],[LOG(Expenditure 69)]]-_dat69[[#This Row],[Quadratic Trend LOG]]</f>
        <v>-2.5766628760165666E-2</v>
      </c>
      <c r="K151" s="2">
        <f t="shared" si="2"/>
        <v>6.6200172756516905E-3</v>
      </c>
    </row>
    <row r="152" spans="1:11" x14ac:dyDescent="0.35">
      <c r="A152">
        <v>1987</v>
      </c>
      <c r="B152" s="1">
        <f>DATE(_dat69[[#This Row],[Year]],_dat69[[#This Row],[Quarter]]*3-1,15)</f>
        <v>32004</v>
      </c>
      <c r="C152" s="2">
        <f>_dat69[[#This Row],[Year]]+(_dat69[[#This Row],[Quarter]]-1)/4+1/8</f>
        <v>1987.625</v>
      </c>
      <c r="D152" s="2">
        <f>_dat69[[#This Row],[DecDate]]^2</f>
        <v>3950653.140625</v>
      </c>
      <c r="E152">
        <v>3</v>
      </c>
      <c r="F152">
        <v>1436</v>
      </c>
      <c r="G152">
        <f>LN(_dat69[[#This Row],[Expenditure]])</f>
        <v>7.2696167496081694</v>
      </c>
      <c r="H152">
        <f>$P$40+_dat69[[#This Row],[DecDate]]*$P$41</f>
        <v>7.2148947186026113</v>
      </c>
      <c r="I152" s="2">
        <f>$P$17+$P$18*_dat69[[#This Row],[DecDate]]+$P$19*_dat69[[#This Row],[DecDate^2]]</f>
        <v>7.2401652183758358</v>
      </c>
      <c r="J152" s="2">
        <f>_dat69[[#This Row],[LOG(Expenditure 69)]]-_dat69[[#This Row],[Quadratic Trend LOG]]</f>
        <v>2.9451531232333572E-2</v>
      </c>
      <c r="K152" s="2">
        <f t="shared" si="2"/>
        <v>-4.5259990787652523E-3</v>
      </c>
    </row>
    <row r="153" spans="1:11" x14ac:dyDescent="0.35">
      <c r="A153">
        <v>1987</v>
      </c>
      <c r="B153" s="1">
        <f>DATE(_dat69[[#This Row],[Year]],_dat69[[#This Row],[Quarter]]*3-1,15)</f>
        <v>32096</v>
      </c>
      <c r="C153" s="2">
        <f>_dat69[[#This Row],[Year]]+(_dat69[[#This Row],[Quarter]]-1)/4+1/8</f>
        <v>1987.875</v>
      </c>
      <c r="D153" s="2">
        <f>_dat69[[#This Row],[DecDate]]^2</f>
        <v>3951647.015625</v>
      </c>
      <c r="E153">
        <v>4</v>
      </c>
      <c r="F153">
        <v>1353</v>
      </c>
      <c r="G153">
        <f>LN(_dat69[[#This Row],[Expenditure]])</f>
        <v>7.2100796281707877</v>
      </c>
      <c r="H153">
        <f>$P$40+_dat69[[#This Row],[DecDate]]*$P$41</f>
        <v>7.2163224587303194</v>
      </c>
      <c r="I153" s="2">
        <f>$P$17+$P$18*_dat69[[#This Row],[DecDate]]+$P$19*_dat69[[#This Row],[DecDate^2]]</f>
        <v>7.24152454686336</v>
      </c>
      <c r="J153" s="2">
        <f>_dat69[[#This Row],[LOG(Expenditure 69)]]-_dat69[[#This Row],[Quadratic Trend LOG]]</f>
        <v>-3.1444918692572266E-2</v>
      </c>
      <c r="K153" s="2">
        <f t="shared" si="2"/>
        <v>-1.4252375398377736E-2</v>
      </c>
    </row>
    <row r="154" spans="1:11" x14ac:dyDescent="0.35">
      <c r="A154">
        <v>1988</v>
      </c>
      <c r="B154" s="1">
        <f>DATE(_dat69[[#This Row],[Year]],_dat69[[#This Row],[Quarter]]*3-1,15)</f>
        <v>32188</v>
      </c>
      <c r="C154" s="2">
        <f>_dat69[[#This Row],[Year]]+(_dat69[[#This Row],[Quarter]]-1)/4+1/8</f>
        <v>1988.125</v>
      </c>
      <c r="D154" s="2">
        <f>_dat69[[#This Row],[DecDate]]^2</f>
        <v>3952641.015625</v>
      </c>
      <c r="E154">
        <v>1</v>
      </c>
      <c r="F154">
        <v>1357</v>
      </c>
      <c r="G154">
        <f>LN(_dat69[[#This Row],[Expenditure]])</f>
        <v>7.2130316598348694</v>
      </c>
      <c r="H154">
        <f>$P$40+_dat69[[#This Row],[DecDate]]*$P$41</f>
        <v>7.2177501988580275</v>
      </c>
      <c r="I154" s="2">
        <f>$P$17+$P$18*_dat69[[#This Row],[DecDate]]+$P$19*_dat69[[#This Row],[DecDate^2]]</f>
        <v>7.2428762740574655</v>
      </c>
      <c r="J154" s="2">
        <f>_dat69[[#This Row],[LOG(Expenditure 69)]]-_dat69[[#This Row],[Quadratic Trend LOG]]</f>
        <v>-2.98446142225961E-2</v>
      </c>
      <c r="K154" s="2">
        <f t="shared" si="2"/>
        <v>-6.9509866213323338E-3</v>
      </c>
    </row>
    <row r="155" spans="1:11" x14ac:dyDescent="0.35">
      <c r="A155">
        <v>1988</v>
      </c>
      <c r="B155" s="1">
        <f>DATE(_dat69[[#This Row],[Year]],_dat69[[#This Row],[Quarter]]*3-1,15)</f>
        <v>32278</v>
      </c>
      <c r="C155" s="2">
        <f>_dat69[[#This Row],[Year]]+(_dat69[[#This Row],[Quarter]]-1)/4+1/8</f>
        <v>1988.375</v>
      </c>
      <c r="D155" s="2">
        <f>_dat69[[#This Row],[DecDate]]^2</f>
        <v>3953635.140625</v>
      </c>
      <c r="E155">
        <v>2</v>
      </c>
      <c r="F155">
        <v>1381</v>
      </c>
      <c r="G155">
        <f>LN(_dat69[[#This Row],[Expenditure]])</f>
        <v>7.2305631534092925</v>
      </c>
      <c r="H155">
        <f>$P$40+_dat69[[#This Row],[DecDate]]*$P$41</f>
        <v>7.2191779389857356</v>
      </c>
      <c r="I155" s="2">
        <f>$P$17+$P$18*_dat69[[#This Row],[DecDate]]+$P$19*_dat69[[#This Row],[DecDate^2]]</f>
        <v>7.2442203999581807</v>
      </c>
      <c r="J155" s="2">
        <f>_dat69[[#This Row],[LOG(Expenditure 69)]]-_dat69[[#This Row],[Quadratic Trend LOG]]</f>
        <v>-1.3657246548888224E-2</v>
      </c>
      <c r="K155" s="2">
        <f t="shared" si="2"/>
        <v>-1.917046669770741E-2</v>
      </c>
    </row>
    <row r="156" spans="1:11" x14ac:dyDescent="0.35">
      <c r="A156">
        <v>1988</v>
      </c>
      <c r="B156" s="1">
        <f>DATE(_dat69[[#This Row],[Year]],_dat69[[#This Row],[Quarter]]*3-1,15)</f>
        <v>32370</v>
      </c>
      <c r="C156" s="2">
        <f>_dat69[[#This Row],[Year]]+(_dat69[[#This Row],[Quarter]]-1)/4+1/8</f>
        <v>1988.625</v>
      </c>
      <c r="D156" s="2">
        <f>_dat69[[#This Row],[DecDate]]^2</f>
        <v>3954629.390625</v>
      </c>
      <c r="E156">
        <v>3</v>
      </c>
      <c r="F156">
        <v>1417</v>
      </c>
      <c r="G156">
        <f>LN(_dat69[[#This Row],[Expenditure]])</f>
        <v>7.2562972396906806</v>
      </c>
      <c r="H156">
        <f>$P$40+_dat69[[#This Row],[DecDate]]*$P$41</f>
        <v>7.2206056791134436</v>
      </c>
      <c r="I156" s="2">
        <f>$P$17+$P$18*_dat69[[#This Row],[DecDate]]+$P$19*_dat69[[#This Row],[DecDate^2]]</f>
        <v>7.2455569245656193</v>
      </c>
      <c r="J156" s="2">
        <f>_dat69[[#This Row],[LOG(Expenditure 69)]]-_dat69[[#This Row],[Quadratic Trend LOG]]</f>
        <v>1.074031512506135E-2</v>
      </c>
      <c r="K156" s="2">
        <f t="shared" si="2"/>
        <v>-6.9352023501201288E-3</v>
      </c>
    </row>
    <row r="157" spans="1:11" x14ac:dyDescent="0.35">
      <c r="A157">
        <v>1988</v>
      </c>
      <c r="B157" s="1">
        <f>DATE(_dat69[[#This Row],[Year]],_dat69[[#This Row],[Quarter]]*3-1,15)</f>
        <v>32462</v>
      </c>
      <c r="C157" s="2">
        <f>_dat69[[#This Row],[Year]]+(_dat69[[#This Row],[Quarter]]-1)/4+1/8</f>
        <v>1988.875</v>
      </c>
      <c r="D157" s="2">
        <f>_dat69[[#This Row],[DecDate]]^2</f>
        <v>3955623.765625</v>
      </c>
      <c r="E157">
        <v>4</v>
      </c>
      <c r="F157">
        <v>1360</v>
      </c>
      <c r="G157">
        <f>LN(_dat69[[#This Row],[Expenditure]])</f>
        <v>7.2152399787300974</v>
      </c>
      <c r="H157">
        <f>$P$40+_dat69[[#This Row],[DecDate]]*$P$41</f>
        <v>7.2220334192411499</v>
      </c>
      <c r="I157" s="2">
        <f>$P$17+$P$18*_dat69[[#This Row],[DecDate]]+$P$19*_dat69[[#This Row],[DecDate^2]]</f>
        <v>7.2468858478796392</v>
      </c>
      <c r="J157" s="2">
        <f>_dat69[[#This Row],[LOG(Expenditure 69)]]-_dat69[[#This Row],[Quadratic Trend LOG]]</f>
        <v>-3.1645869149541817E-2</v>
      </c>
      <c r="K157" s="2">
        <f t="shared" si="2"/>
        <v>4.5790876951658181E-3</v>
      </c>
    </row>
    <row r="158" spans="1:11" x14ac:dyDescent="0.35">
      <c r="A158">
        <v>1989</v>
      </c>
      <c r="B158" s="1">
        <f>DATE(_dat69[[#This Row],[Year]],_dat69[[#This Row],[Quarter]]*3-1,15)</f>
        <v>32554</v>
      </c>
      <c r="C158" s="2">
        <f>_dat69[[#This Row],[Year]]+(_dat69[[#This Row],[Quarter]]-1)/4+1/8</f>
        <v>1989.125</v>
      </c>
      <c r="D158" s="2">
        <f>_dat69[[#This Row],[DecDate]]^2</f>
        <v>3956618.265625</v>
      </c>
      <c r="E158">
        <v>1</v>
      </c>
      <c r="F158">
        <v>1448</v>
      </c>
      <c r="G158">
        <f>LN(_dat69[[#This Row],[Expenditure]])</f>
        <v>7.2779385729456614</v>
      </c>
      <c r="H158">
        <f>$P$40+_dat69[[#This Row],[DecDate]]*$P$41</f>
        <v>7.223461159368858</v>
      </c>
      <c r="I158" s="2">
        <f>$P$17+$P$18*_dat69[[#This Row],[DecDate]]+$P$19*_dat69[[#This Row],[DecDate^2]]</f>
        <v>7.2482071699002972</v>
      </c>
      <c r="J158" s="2">
        <f>_dat69[[#This Row],[LOG(Expenditure 69)]]-_dat69[[#This Row],[Quadratic Trend LOG]]</f>
        <v>2.9731403045364146E-2</v>
      </c>
      <c r="K158" s="2">
        <f t="shared" si="2"/>
        <v>1.1346842648825017E-2</v>
      </c>
    </row>
    <row r="159" spans="1:11" x14ac:dyDescent="0.35">
      <c r="A159">
        <v>1989</v>
      </c>
      <c r="B159" s="1">
        <f>DATE(_dat69[[#This Row],[Year]],_dat69[[#This Row],[Quarter]]*3-1,15)</f>
        <v>32643</v>
      </c>
      <c r="C159" s="2">
        <f>_dat69[[#This Row],[Year]]+(_dat69[[#This Row],[Quarter]]-1)/4+1/8</f>
        <v>1989.375</v>
      </c>
      <c r="D159" s="2">
        <f>_dat69[[#This Row],[DecDate]]^2</f>
        <v>3957612.890625</v>
      </c>
      <c r="E159">
        <v>2</v>
      </c>
      <c r="F159">
        <v>1447</v>
      </c>
      <c r="G159">
        <f>LN(_dat69[[#This Row],[Expenditure]])</f>
        <v>7.2772477266314839</v>
      </c>
      <c r="H159">
        <f>$P$40+_dat69[[#This Row],[DecDate]]*$P$41</f>
        <v>7.2248888994965661</v>
      </c>
      <c r="I159" s="2">
        <f>$P$17+$P$18*_dat69[[#This Row],[DecDate]]+$P$19*_dat69[[#This Row],[DecDate^2]]</f>
        <v>7.2495208906276503</v>
      </c>
      <c r="J159" s="2">
        <f>_dat69[[#This Row],[LOG(Expenditure 69)]]-_dat69[[#This Row],[Quadratic Trend LOG]]</f>
        <v>2.7726836003833633E-2</v>
      </c>
      <c r="K159" s="2">
        <f t="shared" si="2"/>
        <v>1.873314733500777E-2</v>
      </c>
    </row>
    <row r="160" spans="1:11" x14ac:dyDescent="0.35">
      <c r="A160">
        <v>1989</v>
      </c>
      <c r="B160" s="1">
        <f>DATE(_dat69[[#This Row],[Year]],_dat69[[#This Row],[Quarter]]*3-1,15)</f>
        <v>32735</v>
      </c>
      <c r="C160" s="2">
        <f>_dat69[[#This Row],[Year]]+(_dat69[[#This Row],[Quarter]]-1)/4+1/8</f>
        <v>1989.625</v>
      </c>
      <c r="D160" s="2">
        <f>_dat69[[#This Row],[DecDate]]^2</f>
        <v>3958607.640625</v>
      </c>
      <c r="E160">
        <v>3</v>
      </c>
      <c r="F160">
        <v>1438</v>
      </c>
      <c r="G160">
        <f>LN(_dat69[[#This Row],[Expenditure]])</f>
        <v>7.2710085382809924</v>
      </c>
      <c r="H160">
        <f>$P$40+_dat69[[#This Row],[DecDate]]*$P$41</f>
        <v>7.2263166396242742</v>
      </c>
      <c r="I160" s="2">
        <f>$P$17+$P$18*_dat69[[#This Row],[DecDate]]+$P$19*_dat69[[#This Row],[DecDate^2]]</f>
        <v>7.2508270100615846</v>
      </c>
      <c r="J160" s="2">
        <f>_dat69[[#This Row],[LOG(Expenditure 69)]]-_dat69[[#This Row],[Quadratic Trend LOG]]</f>
        <v>2.0181528219407774E-2</v>
      </c>
      <c r="K160" s="2">
        <f t="shared" si="2"/>
        <v>3.8748974912696708E-2</v>
      </c>
    </row>
    <row r="161" spans="1:11" x14ac:dyDescent="0.35">
      <c r="A161">
        <v>1989</v>
      </c>
      <c r="B161" s="1">
        <f>DATE(_dat69[[#This Row],[Year]],_dat69[[#This Row],[Quarter]]*3-1,15)</f>
        <v>32827</v>
      </c>
      <c r="C161" s="2">
        <f>_dat69[[#This Row],[Year]]+(_dat69[[#This Row],[Quarter]]-1)/4+1/8</f>
        <v>1989.875</v>
      </c>
      <c r="D161" s="2">
        <f>_dat69[[#This Row],[DecDate]]^2</f>
        <v>3959602.515625</v>
      </c>
      <c r="E161">
        <v>4</v>
      </c>
      <c r="F161">
        <v>1480</v>
      </c>
      <c r="G161">
        <f>LN(_dat69[[#This Row],[Expenditure]])</f>
        <v>7.2997973667581606</v>
      </c>
      <c r="H161">
        <f>$P$40+_dat69[[#This Row],[DecDate]]*$P$41</f>
        <v>7.2277443797519823</v>
      </c>
      <c r="I161" s="2">
        <f>$P$17+$P$18*_dat69[[#This Row],[DecDate]]+$P$19*_dat69[[#This Row],[DecDate^2]]</f>
        <v>7.2521255282021855</v>
      </c>
      <c r="J161" s="2">
        <f>_dat69[[#This Row],[LOG(Expenditure 69)]]-_dat69[[#This Row],[Quadratic Trend LOG]]</f>
        <v>4.7671838555975121E-2</v>
      </c>
      <c r="K161" s="2">
        <f t="shared" si="2"/>
        <v>3.4248160723513797E-2</v>
      </c>
    </row>
    <row r="162" spans="1:11" x14ac:dyDescent="0.35">
      <c r="A162">
        <v>1990</v>
      </c>
      <c r="B162" s="1">
        <f>DATE(_dat69[[#This Row],[Year]],_dat69[[#This Row],[Quarter]]*3-1,15)</f>
        <v>32919</v>
      </c>
      <c r="C162" s="2">
        <f>_dat69[[#This Row],[Year]]+(_dat69[[#This Row],[Quarter]]-1)/4+1/8</f>
        <v>1990.125</v>
      </c>
      <c r="D162" s="2">
        <f>_dat69[[#This Row],[DecDate]]^2</f>
        <v>3960597.515625</v>
      </c>
      <c r="E162">
        <v>1</v>
      </c>
      <c r="F162">
        <v>1513</v>
      </c>
      <c r="G162">
        <f>LN(_dat69[[#This Row],[Expenditure]])</f>
        <v>7.3218497137883558</v>
      </c>
      <c r="H162">
        <f>$P$40+_dat69[[#This Row],[DecDate]]*$P$41</f>
        <v>7.2291721198796886</v>
      </c>
      <c r="I162" s="2">
        <f>$P$17+$P$18*_dat69[[#This Row],[DecDate]]+$P$19*_dat69[[#This Row],[DecDate^2]]</f>
        <v>7.2534164450494529</v>
      </c>
      <c r="J162" s="2">
        <f>_dat69[[#This Row],[LOG(Expenditure 69)]]-_dat69[[#This Row],[Quadratic Trend LOG]]</f>
        <v>6.8433268738902875E-2</v>
      </c>
      <c r="K162" s="2">
        <f t="shared" si="2"/>
        <v>3.1848439927457228E-2</v>
      </c>
    </row>
    <row r="163" spans="1:11" x14ac:dyDescent="0.35">
      <c r="A163">
        <v>1990</v>
      </c>
      <c r="B163" s="1">
        <f>DATE(_dat69[[#This Row],[Year]],_dat69[[#This Row],[Quarter]]*3-1,15)</f>
        <v>33008</v>
      </c>
      <c r="C163" s="2">
        <f>_dat69[[#This Row],[Year]]+(_dat69[[#This Row],[Quarter]]-1)/4+1/8</f>
        <v>1990.375</v>
      </c>
      <c r="D163" s="2">
        <f>_dat69[[#This Row],[DecDate]]^2</f>
        <v>3961592.640625</v>
      </c>
      <c r="E163">
        <v>2</v>
      </c>
      <c r="F163">
        <v>1425</v>
      </c>
      <c r="G163">
        <f>LN(_dat69[[#This Row],[Expenditure]])</f>
        <v>7.2619270927027513</v>
      </c>
      <c r="H163">
        <f>$P$40+_dat69[[#This Row],[DecDate]]*$P$41</f>
        <v>7.2305998600073966</v>
      </c>
      <c r="I163" s="2">
        <f>$P$17+$P$18*_dat69[[#This Row],[DecDate]]+$P$19*_dat69[[#This Row],[DecDate^2]]</f>
        <v>7.2546997606033017</v>
      </c>
      <c r="J163" s="2">
        <f>_dat69[[#This Row],[LOG(Expenditure 69)]]-_dat69[[#This Row],[Quadratic Trend LOG]]</f>
        <v>7.2273320994495904E-3</v>
      </c>
      <c r="K163" s="2">
        <f t="shared" si="2"/>
        <v>1.674668022371275E-2</v>
      </c>
    </row>
    <row r="164" spans="1:11" x14ac:dyDescent="0.35">
      <c r="A164">
        <v>1990</v>
      </c>
      <c r="B164" s="1">
        <f>DATE(_dat69[[#This Row],[Year]],_dat69[[#This Row],[Quarter]]*3-1,15)</f>
        <v>33100</v>
      </c>
      <c r="C164" s="2">
        <f>_dat69[[#This Row],[Year]]+(_dat69[[#This Row],[Quarter]]-1)/4+1/8</f>
        <v>1990.625</v>
      </c>
      <c r="D164" s="2">
        <f>_dat69[[#This Row],[DecDate]]^2</f>
        <v>3962587.890625</v>
      </c>
      <c r="E164">
        <v>3</v>
      </c>
      <c r="F164">
        <v>1439</v>
      </c>
      <c r="G164">
        <f>LN(_dat69[[#This Row],[Expenditure]])</f>
        <v>7.2717037068873678</v>
      </c>
      <c r="H164">
        <f>$P$40+_dat69[[#This Row],[DecDate]]*$P$41</f>
        <v>7.2320276001351047</v>
      </c>
      <c r="I164" s="2">
        <f>$P$17+$P$18*_dat69[[#This Row],[DecDate]]+$P$19*_dat69[[#This Row],[DecDate^2]]</f>
        <v>7.255975474863817</v>
      </c>
      <c r="J164" s="2">
        <f>_dat69[[#This Row],[LOG(Expenditure 69)]]-_dat69[[#This Row],[Quadratic Trend LOG]]</f>
        <v>1.5728232023550781E-2</v>
      </c>
      <c r="K164" s="2">
        <f t="shared" si="2"/>
        <v>8.1774161069269272E-3</v>
      </c>
    </row>
    <row r="165" spans="1:11" x14ac:dyDescent="0.35">
      <c r="A165">
        <v>1990</v>
      </c>
      <c r="B165" s="1">
        <f>DATE(_dat69[[#This Row],[Year]],_dat69[[#This Row],[Quarter]]*3-1,15)</f>
        <v>33192</v>
      </c>
      <c r="C165" s="2">
        <f>_dat69[[#This Row],[Year]]+(_dat69[[#This Row],[Quarter]]-1)/4+1/8</f>
        <v>1990.875</v>
      </c>
      <c r="D165" s="2">
        <f>_dat69[[#This Row],[DecDate]]^2</f>
        <v>3963583.265625</v>
      </c>
      <c r="E165">
        <v>4</v>
      </c>
      <c r="F165">
        <v>1342</v>
      </c>
      <c r="G165">
        <f>LN(_dat69[[#This Row],[Expenditure]])</f>
        <v>7.2019163175316274</v>
      </c>
      <c r="H165">
        <f>$P$40+_dat69[[#This Row],[DecDate]]*$P$41</f>
        <v>7.2334553402628128</v>
      </c>
      <c r="I165" s="2">
        <f>$P$17+$P$18*_dat69[[#This Row],[DecDate]]+$P$19*_dat69[[#This Row],[DecDate^2]]</f>
        <v>7.257243587830942</v>
      </c>
      <c r="J165" s="2">
        <f>_dat69[[#This Row],[LOG(Expenditure 69)]]-_dat69[[#This Row],[Quadratic Trend LOG]]</f>
        <v>-5.5327270299314613E-2</v>
      </c>
      <c r="K165" s="2">
        <f t="shared" si="2"/>
        <v>-3.2589319616992186E-3</v>
      </c>
    </row>
    <row r="166" spans="1:11" x14ac:dyDescent="0.35">
      <c r="A166">
        <v>1991</v>
      </c>
      <c r="B166" s="1">
        <f>DATE(_dat69[[#This Row],[Year]],_dat69[[#This Row],[Quarter]]*3-1,15)</f>
        <v>33284</v>
      </c>
      <c r="C166" s="2">
        <f>_dat69[[#This Row],[Year]]+(_dat69[[#This Row],[Quarter]]-1)/4+1/8</f>
        <v>1991.125</v>
      </c>
      <c r="D166" s="2">
        <f>_dat69[[#This Row],[DecDate]]^2</f>
        <v>3964578.765625</v>
      </c>
      <c r="E166">
        <v>1</v>
      </c>
      <c r="F166">
        <v>1427</v>
      </c>
      <c r="G166">
        <f>LN(_dat69[[#This Row],[Expenditure]])</f>
        <v>7.2633296174768365</v>
      </c>
      <c r="H166">
        <f>$P$40+_dat69[[#This Row],[DecDate]]*$P$41</f>
        <v>7.2348830803905209</v>
      </c>
      <c r="I166" s="2">
        <f>$P$17+$P$18*_dat69[[#This Row],[DecDate]]+$P$19*_dat69[[#This Row],[DecDate^2]]</f>
        <v>7.2585040995047905</v>
      </c>
      <c r="J166" s="2">
        <f>_dat69[[#This Row],[LOG(Expenditure 69)]]-_dat69[[#This Row],[Quadratic Trend LOG]]</f>
        <v>4.8255179720460006E-3</v>
      </c>
      <c r="K166" s="2">
        <f t="shared" si="2"/>
        <v>-7.7900937005814799E-5</v>
      </c>
    </row>
    <row r="167" spans="1:11" x14ac:dyDescent="0.35">
      <c r="A167">
        <v>1991</v>
      </c>
      <c r="B167" s="1">
        <f>DATE(_dat69[[#This Row],[Year]],_dat69[[#This Row],[Quarter]]*3-1,15)</f>
        <v>33373</v>
      </c>
      <c r="C167" s="2">
        <f>_dat69[[#This Row],[Year]]+(_dat69[[#This Row],[Quarter]]-1)/4+1/8</f>
        <v>1991.375</v>
      </c>
      <c r="D167" s="2">
        <f>_dat69[[#This Row],[DecDate]]^2</f>
        <v>3965574.390625</v>
      </c>
      <c r="E167">
        <v>2</v>
      </c>
      <c r="F167">
        <v>1438</v>
      </c>
      <c r="G167">
        <f>LN(_dat69[[#This Row],[Expenditure]])</f>
        <v>7.2710085382809924</v>
      </c>
      <c r="H167">
        <f>$P$40+_dat69[[#This Row],[DecDate]]*$P$41</f>
        <v>7.2363108205182289</v>
      </c>
      <c r="I167" s="2">
        <f>$P$17+$P$18*_dat69[[#This Row],[DecDate]]+$P$19*_dat69[[#This Row],[DecDate^2]]</f>
        <v>7.2597570098852202</v>
      </c>
      <c r="J167" s="2">
        <f>_dat69[[#This Row],[LOG(Expenditure 69)]]-_dat69[[#This Row],[Quadratic Trend LOG]]</f>
        <v>1.1251528395772148E-2</v>
      </c>
      <c r="K167" s="2">
        <f t="shared" si="2"/>
        <v>-1.3308113174526071E-3</v>
      </c>
    </row>
    <row r="168" spans="1:11" x14ac:dyDescent="0.35">
      <c r="A168">
        <v>1991</v>
      </c>
      <c r="B168" s="1">
        <f>DATE(_dat69[[#This Row],[Year]],_dat69[[#This Row],[Quarter]]*3-1,15)</f>
        <v>33465</v>
      </c>
      <c r="C168" s="2">
        <f>_dat69[[#This Row],[Year]]+(_dat69[[#This Row],[Quarter]]-1)/4+1/8</f>
        <v>1991.625</v>
      </c>
      <c r="D168" s="2">
        <f>_dat69[[#This Row],[DecDate]]^2</f>
        <v>3966570.140625</v>
      </c>
      <c r="E168">
        <v>3</v>
      </c>
      <c r="F168">
        <v>1457</v>
      </c>
      <c r="G168">
        <f>LN(_dat69[[#This Row],[Expenditure]])</f>
        <v>7.2841348061952047</v>
      </c>
      <c r="H168">
        <f>$P$40+_dat69[[#This Row],[DecDate]]*$P$41</f>
        <v>7.2377385606459352</v>
      </c>
      <c r="I168" s="2">
        <f>$P$17+$P$18*_dat69[[#This Row],[DecDate]]+$P$19*_dat69[[#This Row],[DecDate^2]]</f>
        <v>7.2610023189722881</v>
      </c>
      <c r="J168" s="2">
        <f>_dat69[[#This Row],[LOG(Expenditure 69)]]-_dat69[[#This Row],[Quadratic Trend LOG]]</f>
        <v>2.3132487222916609E-2</v>
      </c>
      <c r="K168" s="2">
        <f t="shared" si="2"/>
        <v>-6.4803724810840184E-4</v>
      </c>
    </row>
    <row r="169" spans="1:11" x14ac:dyDescent="0.35">
      <c r="A169">
        <v>1991</v>
      </c>
      <c r="B169" s="1">
        <f>DATE(_dat69[[#This Row],[Year]],_dat69[[#This Row],[Quarter]]*3-1,15)</f>
        <v>33557</v>
      </c>
      <c r="C169" s="2">
        <f>_dat69[[#This Row],[Year]]+(_dat69[[#This Row],[Quarter]]-1)/4+1/8</f>
        <v>1991.875</v>
      </c>
      <c r="D169" s="2">
        <f>_dat69[[#This Row],[DecDate]]^2</f>
        <v>3967566.015625</v>
      </c>
      <c r="E169">
        <v>4</v>
      </c>
      <c r="F169">
        <v>1439</v>
      </c>
      <c r="G169">
        <f>LN(_dat69[[#This Row],[Expenditure]])</f>
        <v>7.2717037068873678</v>
      </c>
      <c r="H169">
        <f>$P$40+_dat69[[#This Row],[DecDate]]*$P$41</f>
        <v>7.2391663007736433</v>
      </c>
      <c r="I169" s="2">
        <f>$P$17+$P$18*_dat69[[#This Row],[DecDate]]+$P$19*_dat69[[#This Row],[DecDate^2]]</f>
        <v>7.262240026766051</v>
      </c>
      <c r="J169" s="2">
        <f>_dat69[[#This Row],[LOG(Expenditure 69)]]-_dat69[[#This Row],[Quadratic Trend LOG]]</f>
        <v>9.4636801213168198E-3</v>
      </c>
      <c r="K169" s="2">
        <f t="shared" si="2"/>
        <v>-1.7171464454866836E-2</v>
      </c>
    </row>
    <row r="170" spans="1:11" x14ac:dyDescent="0.35">
      <c r="A170">
        <v>1992</v>
      </c>
      <c r="B170" s="1">
        <f>DATE(_dat69[[#This Row],[Year]],_dat69[[#This Row],[Quarter]]*3-1,15)</f>
        <v>33649</v>
      </c>
      <c r="C170" s="2">
        <f>_dat69[[#This Row],[Year]]+(_dat69[[#This Row],[Quarter]]-1)/4+1/8</f>
        <v>1992.125</v>
      </c>
      <c r="D170" s="2">
        <f>_dat69[[#This Row],[DecDate]]^2</f>
        <v>3968562.015625</v>
      </c>
      <c r="E170">
        <v>1</v>
      </c>
      <c r="F170">
        <v>1355</v>
      </c>
      <c r="G170">
        <f>LN(_dat69[[#This Row],[Expenditure]])</f>
        <v>7.2115567333138015</v>
      </c>
      <c r="H170">
        <f>$P$40+_dat69[[#This Row],[DecDate]]*$P$41</f>
        <v>7.2405940409013514</v>
      </c>
      <c r="I170" s="2">
        <f>$P$17+$P$18*_dat69[[#This Row],[DecDate]]+$P$19*_dat69[[#This Row],[DecDate^2]]</f>
        <v>7.2634701332663951</v>
      </c>
      <c r="J170" s="2">
        <f>_dat69[[#This Row],[LOG(Expenditure 69)]]-_dat69[[#This Row],[Quadratic Trend LOG]]</f>
        <v>-5.1913399952593586E-2</v>
      </c>
      <c r="K170" s="2">
        <f t="shared" si="2"/>
        <v>-2.1061743179423685E-2</v>
      </c>
    </row>
    <row r="171" spans="1:11" x14ac:dyDescent="0.35">
      <c r="A171">
        <v>1992</v>
      </c>
      <c r="B171" s="1">
        <f>DATE(_dat69[[#This Row],[Year]],_dat69[[#This Row],[Quarter]]*3-1,15)</f>
        <v>33739</v>
      </c>
      <c r="C171" s="2">
        <f>_dat69[[#This Row],[Year]]+(_dat69[[#This Row],[Quarter]]-1)/4+1/8</f>
        <v>1992.375</v>
      </c>
      <c r="D171" s="2">
        <f>_dat69[[#This Row],[DecDate]]^2</f>
        <v>3969558.140625</v>
      </c>
      <c r="E171">
        <v>2</v>
      </c>
      <c r="F171">
        <v>1322</v>
      </c>
      <c r="G171">
        <f>LN(_dat69[[#This Row],[Expenditure]])</f>
        <v>7.1869010204116313</v>
      </c>
      <c r="H171">
        <f>$P$40+_dat69[[#This Row],[DecDate]]*$P$41</f>
        <v>7.2420217810290595</v>
      </c>
      <c r="I171" s="2">
        <f>$P$17+$P$18*_dat69[[#This Row],[DecDate]]+$P$19*_dat69[[#This Row],[DecDate^2]]</f>
        <v>7.2646926384733774</v>
      </c>
      <c r="J171" s="2">
        <f>_dat69[[#This Row],[LOG(Expenditure 69)]]-_dat69[[#This Row],[Quadratic Trend LOG]]</f>
        <v>-7.7791618061746171E-2</v>
      </c>
      <c r="K171" s="2">
        <f t="shared" si="2"/>
        <v>-2.7428779506408318E-2</v>
      </c>
    </row>
    <row r="172" spans="1:11" x14ac:dyDescent="0.35">
      <c r="A172">
        <v>1992</v>
      </c>
      <c r="B172" s="1">
        <f>DATE(_dat69[[#This Row],[Year]],_dat69[[#This Row],[Quarter]]*3-1,15)</f>
        <v>33831</v>
      </c>
      <c r="C172" s="2">
        <f>_dat69[[#This Row],[Year]]+(_dat69[[#This Row],[Quarter]]-1)/4+1/8</f>
        <v>1992.625</v>
      </c>
      <c r="D172" s="2">
        <f>_dat69[[#This Row],[DecDate]]^2</f>
        <v>3970554.390625</v>
      </c>
      <c r="E172">
        <v>3</v>
      </c>
      <c r="F172">
        <v>1419</v>
      </c>
      <c r="G172">
        <f>LN(_dat69[[#This Row],[Expenditure]])</f>
        <v>7.2577076771600426</v>
      </c>
      <c r="H172">
        <f>$P$40+_dat69[[#This Row],[DecDate]]*$P$41</f>
        <v>7.2434495211567675</v>
      </c>
      <c r="I172" s="2">
        <f>$P$17+$P$18*_dat69[[#This Row],[DecDate]]+$P$19*_dat69[[#This Row],[DecDate^2]]</f>
        <v>7.2659075423870547</v>
      </c>
      <c r="J172" s="2">
        <f>_dat69[[#This Row],[LOG(Expenditure 69)]]-_dat69[[#This Row],[Quadratic Trend LOG]]</f>
        <v>-8.1998652270121042E-3</v>
      </c>
      <c r="K172" s="2">
        <f t="shared" si="2"/>
        <v>-3.2715428123076505E-2</v>
      </c>
    </row>
    <row r="173" spans="1:11" x14ac:dyDescent="0.35">
      <c r="A173">
        <v>1992</v>
      </c>
      <c r="B173" s="1">
        <f>DATE(_dat69[[#This Row],[Year]],_dat69[[#This Row],[Quarter]]*3-1,15)</f>
        <v>33923</v>
      </c>
      <c r="C173" s="2">
        <f>_dat69[[#This Row],[Year]]+(_dat69[[#This Row],[Quarter]]-1)/4+1/8</f>
        <v>1992.875</v>
      </c>
      <c r="D173" s="2">
        <f>_dat69[[#This Row],[DecDate]]^2</f>
        <v>3971550.765625</v>
      </c>
      <c r="E173">
        <v>4</v>
      </c>
      <c r="F173">
        <v>1420</v>
      </c>
      <c r="G173">
        <f>LN(_dat69[[#This Row],[Expenditure]])</f>
        <v>7.2584121505953068</v>
      </c>
      <c r="H173">
        <f>$P$40+_dat69[[#This Row],[DecDate]]*$P$41</f>
        <v>7.2448772612844756</v>
      </c>
      <c r="I173" s="2">
        <f>$P$17+$P$18*_dat69[[#This Row],[DecDate]]+$P$19*_dat69[[#This Row],[DecDate^2]]</f>
        <v>7.2671148450073133</v>
      </c>
      <c r="J173" s="2">
        <f>_dat69[[#This Row],[LOG(Expenditure 69)]]-_dat69[[#This Row],[Quadratic Trend LOG]]</f>
        <v>-8.7026944120065508E-3</v>
      </c>
      <c r="K173" s="2">
        <f t="shared" si="2"/>
        <v>-1.6004516234917433E-2</v>
      </c>
    </row>
    <row r="174" spans="1:11" x14ac:dyDescent="0.35">
      <c r="A174">
        <v>1993</v>
      </c>
      <c r="B174" s="1">
        <f>DATE(_dat69[[#This Row],[Year]],_dat69[[#This Row],[Quarter]]*3-1,15)</f>
        <v>34015</v>
      </c>
      <c r="C174" s="2">
        <f>_dat69[[#This Row],[Year]]+(_dat69[[#This Row],[Quarter]]-1)/4+1/8</f>
        <v>1993.125</v>
      </c>
      <c r="D174" s="2">
        <f>_dat69[[#This Row],[DecDate]]^2</f>
        <v>3972547.265625</v>
      </c>
      <c r="E174">
        <v>1</v>
      </c>
      <c r="F174">
        <v>1410</v>
      </c>
      <c r="G174">
        <f>LN(_dat69[[#This Row],[Expenditure]])</f>
        <v>7.2513449833722143</v>
      </c>
      <c r="H174">
        <f>$P$40+_dat69[[#This Row],[DecDate]]*$P$41</f>
        <v>7.2463050014121819</v>
      </c>
      <c r="I174" s="2">
        <f>$P$17+$P$18*_dat69[[#This Row],[DecDate]]+$P$19*_dat69[[#This Row],[DecDate^2]]</f>
        <v>7.2683145463342385</v>
      </c>
      <c r="J174" s="2">
        <f>_dat69[[#This Row],[LOG(Expenditure 69)]]-_dat69[[#This Row],[Quadratic Trend LOG]]</f>
        <v>-1.6969562962024121E-2</v>
      </c>
      <c r="K174" s="2">
        <f t="shared" si="2"/>
        <v>8.7252137924206611E-3</v>
      </c>
    </row>
    <row r="175" spans="1:11" x14ac:dyDescent="0.35">
      <c r="A175">
        <v>1993</v>
      </c>
      <c r="B175" s="1">
        <f>DATE(_dat69[[#This Row],[Year]],_dat69[[#This Row],[Quarter]]*3-1,15)</f>
        <v>34104</v>
      </c>
      <c r="C175" s="2">
        <f>_dat69[[#This Row],[Year]]+(_dat69[[#This Row],[Quarter]]-1)/4+1/8</f>
        <v>1993.375</v>
      </c>
      <c r="D175" s="2">
        <f>_dat69[[#This Row],[DecDate]]^2</f>
        <v>3973543.890625</v>
      </c>
      <c r="E175">
        <v>2</v>
      </c>
      <c r="F175">
        <v>1482</v>
      </c>
      <c r="G175">
        <f>LN(_dat69[[#This Row],[Expenditure]])</f>
        <v>7.301147805856032</v>
      </c>
      <c r="H175">
        <f>$P$40+_dat69[[#This Row],[DecDate]]*$P$41</f>
        <v>7.24773274153989</v>
      </c>
      <c r="I175" s="2">
        <f>$P$17+$P$18*_dat69[[#This Row],[DecDate]]+$P$19*_dat69[[#This Row],[DecDate^2]]</f>
        <v>7.2695066463678302</v>
      </c>
      <c r="J175" s="2">
        <f>_dat69[[#This Row],[LOG(Expenditure 69)]]-_dat69[[#This Row],[Quadratic Trend LOG]]</f>
        <v>3.1641159488201787E-2</v>
      </c>
      <c r="K175" s="2">
        <f t="shared" si="2"/>
        <v>1.8635655744914815E-2</v>
      </c>
    </row>
    <row r="176" spans="1:11" x14ac:dyDescent="0.35">
      <c r="A176">
        <v>1993</v>
      </c>
      <c r="B176" s="1">
        <f>DATE(_dat69[[#This Row],[Year]],_dat69[[#This Row],[Quarter]]*3-1,15)</f>
        <v>34196</v>
      </c>
      <c r="C176" s="2">
        <f>_dat69[[#This Row],[Year]]+(_dat69[[#This Row],[Quarter]]-1)/4+1/8</f>
        <v>1993.625</v>
      </c>
      <c r="D176" s="2">
        <f>_dat69[[#This Row],[DecDate]]^2</f>
        <v>3974540.640625</v>
      </c>
      <c r="E176">
        <v>3</v>
      </c>
      <c r="F176">
        <v>1505</v>
      </c>
      <c r="G176">
        <f>LN(_dat69[[#This Row],[Expenditure]])</f>
        <v>7.3165481771829759</v>
      </c>
      <c r="H176">
        <f>$P$40+_dat69[[#This Row],[DecDate]]*$P$41</f>
        <v>7.2491604816675981</v>
      </c>
      <c r="I176" s="2">
        <f>$P$17+$P$18*_dat69[[#This Row],[DecDate]]+$P$19*_dat69[[#This Row],[DecDate^2]]</f>
        <v>7.2706911451080316</v>
      </c>
      <c r="J176" s="2">
        <f>_dat69[[#This Row],[LOG(Expenditure 69)]]-_dat69[[#This Row],[Quadratic Trend LOG]]</f>
        <v>4.5857032074944293E-2</v>
      </c>
      <c r="K176" s="2">
        <f t="shared" si="2"/>
        <v>2.6268011631105814E-2</v>
      </c>
    </row>
    <row r="177" spans="1:11" x14ac:dyDescent="0.35">
      <c r="A177">
        <v>1993</v>
      </c>
      <c r="B177" s="1">
        <f>DATE(_dat69[[#This Row],[Year]],_dat69[[#This Row],[Quarter]]*3-1,15)</f>
        <v>34288</v>
      </c>
      <c r="C177" s="2">
        <f>_dat69[[#This Row],[Year]]+(_dat69[[#This Row],[Quarter]]-1)/4+1/8</f>
        <v>1993.875</v>
      </c>
      <c r="D177" s="2">
        <f>_dat69[[#This Row],[DecDate]]^2</f>
        <v>3975537.515625</v>
      </c>
      <c r="E177">
        <v>4</v>
      </c>
      <c r="F177">
        <v>1500</v>
      </c>
      <c r="G177">
        <f>LN(_dat69[[#This Row],[Expenditure]])</f>
        <v>7.3132203870903014</v>
      </c>
      <c r="H177">
        <f>$P$40+_dat69[[#This Row],[DecDate]]*$P$41</f>
        <v>7.2505882217953062</v>
      </c>
      <c r="I177" s="2">
        <f>$P$17+$P$18*_dat69[[#This Row],[DecDate]]+$P$19*_dat69[[#This Row],[DecDate^2]]</f>
        <v>7.2718680425548428</v>
      </c>
      <c r="J177" s="2">
        <f>_dat69[[#This Row],[LOG(Expenditure 69)]]-_dat69[[#This Row],[Quadratic Trend LOG]]</f>
        <v>4.1352344535458663E-2</v>
      </c>
      <c r="K177" s="2">
        <f t="shared" si="2"/>
        <v>4.1165111455105222E-2</v>
      </c>
    </row>
    <row r="178" spans="1:11" x14ac:dyDescent="0.35">
      <c r="A178">
        <v>1994</v>
      </c>
      <c r="B178" s="1">
        <f>DATE(_dat69[[#This Row],[Year]],_dat69[[#This Row],[Quarter]]*3-1,15)</f>
        <v>34380</v>
      </c>
      <c r="C178" s="2">
        <f>_dat69[[#This Row],[Year]]+(_dat69[[#This Row],[Quarter]]-1)/4+1/8</f>
        <v>1994.125</v>
      </c>
      <c r="D178" s="2">
        <f>_dat69[[#This Row],[DecDate]]^2</f>
        <v>3976534.515625</v>
      </c>
      <c r="E178">
        <v>1</v>
      </c>
      <c r="F178">
        <v>1484</v>
      </c>
      <c r="G178">
        <f>LN(_dat69[[#This Row],[Expenditure]])</f>
        <v>7.3024964237273258</v>
      </c>
      <c r="H178">
        <f>$P$40+_dat69[[#This Row],[DecDate]]*$P$41</f>
        <v>7.2520159619230142</v>
      </c>
      <c r="I178" s="2">
        <f>$P$17+$P$18*_dat69[[#This Row],[DecDate]]+$P$19*_dat69[[#This Row],[DecDate^2]]</f>
        <v>7.2730373387083773</v>
      </c>
      <c r="J178" s="2">
        <f>_dat69[[#This Row],[LOG(Expenditure 69)]]-_dat69[[#This Row],[Quadratic Trend LOG]]</f>
        <v>2.945908501894845E-2</v>
      </c>
      <c r="K178" s="2">
        <f t="shared" si="2"/>
        <v>4.2276953750934966E-2</v>
      </c>
    </row>
    <row r="179" spans="1:11" x14ac:dyDescent="0.35">
      <c r="A179">
        <v>1994</v>
      </c>
      <c r="B179" s="1">
        <f>DATE(_dat69[[#This Row],[Year]],_dat69[[#This Row],[Quarter]]*3-1,15)</f>
        <v>34469</v>
      </c>
      <c r="C179" s="2">
        <f>_dat69[[#This Row],[Year]]+(_dat69[[#This Row],[Quarter]]-1)/4+1/8</f>
        <v>1994.375</v>
      </c>
      <c r="D179" s="2">
        <f>_dat69[[#This Row],[DecDate]]^2</f>
        <v>3977531.640625</v>
      </c>
      <c r="E179">
        <v>2</v>
      </c>
      <c r="F179">
        <v>1528</v>
      </c>
      <c r="G179">
        <f>LN(_dat69[[#This Row],[Expenditure]])</f>
        <v>7.3317149697264661</v>
      </c>
      <c r="H179">
        <f>$P$40+_dat69[[#This Row],[DecDate]]*$P$41</f>
        <v>7.2534437020507223</v>
      </c>
      <c r="I179" s="2">
        <f>$P$17+$P$18*_dat69[[#This Row],[DecDate]]+$P$19*_dat69[[#This Row],[DecDate^2]]</f>
        <v>7.2741990335684932</v>
      </c>
      <c r="J179" s="2">
        <f>_dat69[[#This Row],[LOG(Expenditure 69)]]-_dat69[[#This Row],[Quadratic Trend LOG]]</f>
        <v>5.7515936157972902E-2</v>
      </c>
      <c r="K179" s="2">
        <f t="shared" si="2"/>
        <v>2.9206164872621444E-2</v>
      </c>
    </row>
    <row r="180" spans="1:11" x14ac:dyDescent="0.35">
      <c r="A180">
        <v>1994</v>
      </c>
      <c r="B180" s="1">
        <f>DATE(_dat69[[#This Row],[Year]],_dat69[[#This Row],[Quarter]]*3-1,15)</f>
        <v>34561</v>
      </c>
      <c r="C180" s="2">
        <f>_dat69[[#This Row],[Year]]+(_dat69[[#This Row],[Quarter]]-1)/4+1/8</f>
        <v>1994.625</v>
      </c>
      <c r="D180" s="2">
        <f>_dat69[[#This Row],[DecDate]]^2</f>
        <v>3978528.890625</v>
      </c>
      <c r="E180">
        <v>3</v>
      </c>
      <c r="F180">
        <v>1499</v>
      </c>
      <c r="G180">
        <f>LN(_dat69[[#This Row],[Expenditure]])</f>
        <v>7.3125534981025977</v>
      </c>
      <c r="H180">
        <f>$P$40+_dat69[[#This Row],[DecDate]]*$P$41</f>
        <v>7.2548714421784286</v>
      </c>
      <c r="I180" s="2">
        <f>$P$17+$P$18*_dat69[[#This Row],[DecDate]]+$P$19*_dat69[[#This Row],[DecDate^2]]</f>
        <v>7.2753531271352472</v>
      </c>
      <c r="J180" s="2">
        <f>_dat69[[#This Row],[LOG(Expenditure 69)]]-_dat69[[#This Row],[Quadratic Trend LOG]]</f>
        <v>3.7200370967350516E-2</v>
      </c>
      <c r="K180" s="2">
        <f t="shared" si="2"/>
        <v>1.3537932738877601E-2</v>
      </c>
    </row>
    <row r="181" spans="1:11" x14ac:dyDescent="0.35">
      <c r="A181">
        <v>1994</v>
      </c>
      <c r="B181" s="1">
        <f>DATE(_dat69[[#This Row],[Year]],_dat69[[#This Row],[Quarter]]*3-1,15)</f>
        <v>34653</v>
      </c>
      <c r="C181" s="2">
        <f>_dat69[[#This Row],[Year]]+(_dat69[[#This Row],[Quarter]]-1)/4+1/8</f>
        <v>1994.875</v>
      </c>
      <c r="D181" s="2">
        <f>_dat69[[#This Row],[DecDate]]^2</f>
        <v>3979526.265625</v>
      </c>
      <c r="E181">
        <v>4</v>
      </c>
      <c r="F181">
        <v>1418</v>
      </c>
      <c r="G181">
        <f>LN(_dat69[[#This Row],[Expenditure]])</f>
        <v>7.2570027070920728</v>
      </c>
      <c r="H181">
        <f>$P$40+_dat69[[#This Row],[DecDate]]*$P$41</f>
        <v>7.2562991823061367</v>
      </c>
      <c r="I181" s="2">
        <f>$P$17+$P$18*_dat69[[#This Row],[DecDate]]+$P$19*_dat69[[#This Row],[DecDate^2]]</f>
        <v>7.2764996194086962</v>
      </c>
      <c r="J181" s="2">
        <f>_dat69[[#This Row],[LOG(Expenditure 69)]]-_dat69[[#This Row],[Quadratic Trend LOG]]</f>
        <v>-1.9496912316623316E-2</v>
      </c>
      <c r="K181" s="2">
        <f t="shared" si="2"/>
        <v>2.5862322569144779E-3</v>
      </c>
    </row>
    <row r="182" spans="1:11" x14ac:dyDescent="0.35">
      <c r="A182">
        <v>1995</v>
      </c>
      <c r="B182" s="1">
        <f>DATE(_dat69[[#This Row],[Year]],_dat69[[#This Row],[Quarter]]*3-1,15)</f>
        <v>34745</v>
      </c>
      <c r="C182" s="2">
        <f>_dat69[[#This Row],[Year]]+(_dat69[[#This Row],[Quarter]]-1)/4+1/8</f>
        <v>1995.125</v>
      </c>
      <c r="D182" s="2">
        <f>_dat69[[#This Row],[DecDate]]^2</f>
        <v>3980523.765625</v>
      </c>
      <c r="E182">
        <v>1</v>
      </c>
      <c r="F182">
        <v>1395</v>
      </c>
      <c r="G182">
        <f>LN(_dat69[[#This Row],[Expenditure]])</f>
        <v>7.2406496942554659</v>
      </c>
      <c r="H182">
        <f>$P$40+_dat69[[#This Row],[DecDate]]*$P$41</f>
        <v>7.2577269224338448</v>
      </c>
      <c r="I182" s="2">
        <f>$P$17+$P$18*_dat69[[#This Row],[DecDate]]+$P$19*_dat69[[#This Row],[DecDate^2]]</f>
        <v>7.2776385103887264</v>
      </c>
      <c r="J182" s="2">
        <f>_dat69[[#This Row],[LOG(Expenditure 69)]]-_dat69[[#This Row],[Quadratic Trend LOG]]</f>
        <v>-3.6988816133260549E-2</v>
      </c>
      <c r="K182" s="2">
        <f t="shared" si="2"/>
        <v>-9.0318855855077377E-3</v>
      </c>
    </row>
    <row r="183" spans="1:11" x14ac:dyDescent="0.35">
      <c r="A183">
        <v>1995</v>
      </c>
      <c r="B183" s="1">
        <f>DATE(_dat69[[#This Row],[Year]],_dat69[[#This Row],[Quarter]]*3-1,15)</f>
        <v>34834</v>
      </c>
      <c r="C183" s="2">
        <f>_dat69[[#This Row],[Year]]+(_dat69[[#This Row],[Quarter]]-1)/4+1/8</f>
        <v>1995.375</v>
      </c>
      <c r="D183" s="2">
        <f>_dat69[[#This Row],[DecDate]]^2</f>
        <v>3981521.390625</v>
      </c>
      <c r="E183">
        <v>2</v>
      </c>
      <c r="F183">
        <v>1413</v>
      </c>
      <c r="G183">
        <f>LN(_dat69[[#This Row],[Expenditure]])</f>
        <v>7.2534703826845277</v>
      </c>
      <c r="H183">
        <f>$P$40+_dat69[[#This Row],[DecDate]]*$P$41</f>
        <v>7.2591546625615528</v>
      </c>
      <c r="I183" s="2">
        <f>$P$17+$P$18*_dat69[[#This Row],[DecDate]]+$P$19*_dat69[[#This Row],[DecDate^2]]</f>
        <v>7.2787698000753949</v>
      </c>
      <c r="J183" s="2">
        <f>_dat69[[#This Row],[LOG(Expenditure 69)]]-_dat69[[#This Row],[Quadratic Trend LOG]]</f>
        <v>-2.5299417390867163E-2</v>
      </c>
      <c r="K183" s="2">
        <f t="shared" si="2"/>
        <v>-2.2121391282086657E-2</v>
      </c>
    </row>
    <row r="184" spans="1:11" x14ac:dyDescent="0.35">
      <c r="A184">
        <v>1995</v>
      </c>
      <c r="B184" s="1">
        <f>DATE(_dat69[[#This Row],[Year]],_dat69[[#This Row],[Quarter]]*3-1,15)</f>
        <v>34926</v>
      </c>
      <c r="C184" s="2">
        <f>_dat69[[#This Row],[Year]]+(_dat69[[#This Row],[Quarter]]-1)/4+1/8</f>
        <v>1995.625</v>
      </c>
      <c r="D184" s="2">
        <f>_dat69[[#This Row],[DecDate]]^2</f>
        <v>3982519.140625</v>
      </c>
      <c r="E184">
        <v>3</v>
      </c>
      <c r="F184">
        <v>1450</v>
      </c>
      <c r="G184">
        <f>LN(_dat69[[#This Row],[Expenditure]])</f>
        <v>7.2793188354146201</v>
      </c>
      <c r="H184">
        <f>$P$40+_dat69[[#This Row],[DecDate]]*$P$41</f>
        <v>7.2605824026892609</v>
      </c>
      <c r="I184" s="2">
        <f>$P$17+$P$18*_dat69[[#This Row],[DecDate]]+$P$19*_dat69[[#This Row],[DecDate^2]]</f>
        <v>7.2798934884687583</v>
      </c>
      <c r="J184" s="2">
        <f>_dat69[[#This Row],[LOG(Expenditure 69)]]-_dat69[[#This Row],[Quadratic Trend LOG]]</f>
        <v>-5.7465305413817447E-4</v>
      </c>
      <c r="K184" s="2">
        <f t="shared" si="2"/>
        <v>-1.6723516803591389E-2</v>
      </c>
    </row>
    <row r="185" spans="1:11" x14ac:dyDescent="0.35">
      <c r="A185">
        <v>1995</v>
      </c>
      <c r="B185" s="1">
        <f>DATE(_dat69[[#This Row],[Year]],_dat69[[#This Row],[Quarter]]*3-1,15)</f>
        <v>35018</v>
      </c>
      <c r="C185" s="2">
        <f>_dat69[[#This Row],[Year]]+(_dat69[[#This Row],[Quarter]]-1)/4+1/8</f>
        <v>1995.875</v>
      </c>
      <c r="D185" s="2">
        <f>_dat69[[#This Row],[DecDate]]^2</f>
        <v>3983517.015625</v>
      </c>
      <c r="E185">
        <v>4</v>
      </c>
      <c r="F185">
        <v>1412</v>
      </c>
      <c r="G185">
        <f>LN(_dat69[[#This Row],[Expenditure]])</f>
        <v>7.2527624180531873</v>
      </c>
      <c r="H185">
        <f>$P$40+_dat69[[#This Row],[DecDate]]*$P$41</f>
        <v>7.262010142816969</v>
      </c>
      <c r="I185" s="2">
        <f>$P$17+$P$18*_dat69[[#This Row],[DecDate]]+$P$19*_dat69[[#This Row],[DecDate^2]]</f>
        <v>7.2810095755687314</v>
      </c>
      <c r="J185" s="2">
        <f>_dat69[[#This Row],[LOG(Expenditure 69)]]-_dat69[[#This Row],[Quadratic Trend LOG]]</f>
        <v>-2.8247157515544075E-2</v>
      </c>
      <c r="K185" s="2">
        <f t="shared" si="2"/>
        <v>3.4903973939695021E-3</v>
      </c>
    </row>
    <row r="186" spans="1:11" x14ac:dyDescent="0.35">
      <c r="A186">
        <v>1996</v>
      </c>
      <c r="B186" s="1">
        <f>DATE(_dat69[[#This Row],[Year]],_dat69[[#This Row],[Quarter]]*3-1,15)</f>
        <v>35110</v>
      </c>
      <c r="C186" s="2">
        <f>_dat69[[#This Row],[Year]]+(_dat69[[#This Row],[Quarter]]-1)/4+1/8</f>
        <v>1996.125</v>
      </c>
      <c r="D186" s="2">
        <f>_dat69[[#This Row],[DecDate]]^2</f>
        <v>3984515.015625</v>
      </c>
      <c r="E186">
        <v>1</v>
      </c>
      <c r="F186">
        <v>1465</v>
      </c>
      <c r="G186">
        <f>LN(_dat69[[#This Row],[Expenditure]])</f>
        <v>7.2896105214511673</v>
      </c>
      <c r="H186">
        <f>$P$40+_dat69[[#This Row],[DecDate]]*$P$41</f>
        <v>7.2634378829446753</v>
      </c>
      <c r="I186" s="2">
        <f>$P$17+$P$18*_dat69[[#This Row],[DecDate]]+$P$19*_dat69[[#This Row],[DecDate^2]]</f>
        <v>7.2821180613753143</v>
      </c>
      <c r="J186" s="2">
        <f>_dat69[[#This Row],[LOG(Expenditure 69)]]-_dat69[[#This Row],[Quadratic Trend LOG]]</f>
        <v>7.4924600758530246E-3</v>
      </c>
      <c r="K186" s="2">
        <f t="shared" si="2"/>
        <v>2.1147775199079889E-2</v>
      </c>
    </row>
    <row r="187" spans="1:11" x14ac:dyDescent="0.35">
      <c r="A187">
        <v>1996</v>
      </c>
      <c r="B187" s="1">
        <f>DATE(_dat69[[#This Row],[Year]],_dat69[[#This Row],[Quarter]]*3-1,15)</f>
        <v>35200</v>
      </c>
      <c r="C187" s="2">
        <f>_dat69[[#This Row],[Year]]+(_dat69[[#This Row],[Quarter]]-1)/4+1/8</f>
        <v>1996.375</v>
      </c>
      <c r="D187" s="2">
        <f>_dat69[[#This Row],[DecDate]]^2</f>
        <v>3985513.140625</v>
      </c>
      <c r="E187">
        <v>2</v>
      </c>
      <c r="F187">
        <v>1552</v>
      </c>
      <c r="G187">
        <f>LN(_dat69[[#This Row],[Expenditure]])</f>
        <v>7.3472997007431644</v>
      </c>
      <c r="H187">
        <f>$P$40+_dat69[[#This Row],[DecDate]]*$P$41</f>
        <v>7.2648656230723834</v>
      </c>
      <c r="I187" s="2">
        <f>$P$17+$P$18*_dat69[[#This Row],[DecDate]]+$P$19*_dat69[[#This Row],[DecDate^2]]</f>
        <v>7.2832189458886205</v>
      </c>
      <c r="J187" s="2">
        <f>_dat69[[#This Row],[LOG(Expenditure 69)]]-_dat69[[#This Row],[Quadratic Trend LOG]]</f>
        <v>6.4080754854543898E-2</v>
      </c>
      <c r="K187" s="2">
        <f t="shared" si="2"/>
        <v>2.2241700092225793E-2</v>
      </c>
    </row>
    <row r="188" spans="1:11" x14ac:dyDescent="0.35">
      <c r="A188">
        <v>1996</v>
      </c>
      <c r="B188" s="1">
        <f>DATE(_dat69[[#This Row],[Year]],_dat69[[#This Row],[Quarter]]*3-1,15)</f>
        <v>35292</v>
      </c>
      <c r="C188" s="2">
        <f>_dat69[[#This Row],[Year]]+(_dat69[[#This Row],[Quarter]]-1)/4+1/8</f>
        <v>1996.625</v>
      </c>
      <c r="D188" s="2">
        <f>_dat69[[#This Row],[DecDate]]^2</f>
        <v>3986511.390625</v>
      </c>
      <c r="E188">
        <v>3</v>
      </c>
      <c r="F188">
        <v>1552</v>
      </c>
      <c r="G188">
        <f>LN(_dat69[[#This Row],[Expenditure]])</f>
        <v>7.3472997007431644</v>
      </c>
      <c r="H188">
        <f>$P$40+_dat69[[#This Row],[DecDate]]*$P$41</f>
        <v>7.2662933632000914</v>
      </c>
      <c r="I188" s="2">
        <f>$P$17+$P$18*_dat69[[#This Row],[DecDate]]+$P$19*_dat69[[#This Row],[DecDate^2]]</f>
        <v>7.2843122291084796</v>
      </c>
      <c r="J188" s="2">
        <f>_dat69[[#This Row],[LOG(Expenditure 69)]]-_dat69[[#This Row],[Quadratic Trend LOG]]</f>
        <v>6.2987471634684766E-2</v>
      </c>
      <c r="K188" s="2">
        <f t="shared" si="2"/>
        <v>3.2036396214637011E-2</v>
      </c>
    </row>
    <row r="189" spans="1:11" x14ac:dyDescent="0.35">
      <c r="A189">
        <v>1996</v>
      </c>
      <c r="B189" s="1">
        <f>DATE(_dat69[[#This Row],[Year]],_dat69[[#This Row],[Quarter]]*3-1,15)</f>
        <v>35384</v>
      </c>
      <c r="C189" s="2">
        <f>_dat69[[#This Row],[Year]]+(_dat69[[#This Row],[Quarter]]-1)/4+1/8</f>
        <v>1996.875</v>
      </c>
      <c r="D189" s="2">
        <f>_dat69[[#This Row],[DecDate]]^2</f>
        <v>3987509.765625</v>
      </c>
      <c r="E189">
        <v>4</v>
      </c>
      <c r="F189">
        <v>1466</v>
      </c>
      <c r="G189">
        <f>LN(_dat69[[#This Row],[Expenditure]])</f>
        <v>7.2902928824465967</v>
      </c>
      <c r="H189">
        <f>$P$40+_dat69[[#This Row],[DecDate]]*$P$41</f>
        <v>7.2677211033277995</v>
      </c>
      <c r="I189" s="2">
        <f>$P$17+$P$18*_dat69[[#This Row],[DecDate]]+$P$19*_dat69[[#This Row],[DecDate^2]]</f>
        <v>7.2853979110350053</v>
      </c>
      <c r="J189" s="2">
        <f>_dat69[[#This Row],[LOG(Expenditure 69)]]-_dat69[[#This Row],[Quadratic Trend LOG]]</f>
        <v>4.8949714115913423E-3</v>
      </c>
      <c r="K189" s="2">
        <f t="shared" si="2"/>
        <v>3.9109652366741264E-2</v>
      </c>
    </row>
    <row r="190" spans="1:11" x14ac:dyDescent="0.35">
      <c r="A190">
        <v>1997</v>
      </c>
      <c r="B190" s="1">
        <f>DATE(_dat69[[#This Row],[Year]],_dat69[[#This Row],[Quarter]]*3-1,15)</f>
        <v>35476</v>
      </c>
      <c r="C190" s="2">
        <f>_dat69[[#This Row],[Year]]+(_dat69[[#This Row],[Quarter]]-1)/4+1/8</f>
        <v>1997.125</v>
      </c>
      <c r="D190" s="2">
        <f>_dat69[[#This Row],[DecDate]]^2</f>
        <v>3988508.265625</v>
      </c>
      <c r="E190">
        <v>1</v>
      </c>
      <c r="F190">
        <v>1491</v>
      </c>
      <c r="G190">
        <f>LN(_dat69[[#This Row],[Expenditure]])</f>
        <v>7.307202314764738</v>
      </c>
      <c r="H190">
        <f>$P$40+_dat69[[#This Row],[DecDate]]*$P$41</f>
        <v>7.2691488434555076</v>
      </c>
      <c r="I190" s="2">
        <f>$P$17+$P$18*_dat69[[#This Row],[DecDate]]+$P$19*_dat69[[#This Row],[DecDate^2]]</f>
        <v>7.286475991668226</v>
      </c>
      <c r="J190" s="2">
        <f>_dat69[[#This Row],[LOG(Expenditure 69)]]-_dat69[[#This Row],[Quadratic Trend LOG]]</f>
        <v>2.0726323096512012E-2</v>
      </c>
      <c r="K190" s="2">
        <f t="shared" si="2"/>
        <v>3.1881267021534043E-2</v>
      </c>
    </row>
    <row r="191" spans="1:11" x14ac:dyDescent="0.35">
      <c r="A191">
        <v>1997</v>
      </c>
      <c r="B191" s="1">
        <f>DATE(_dat69[[#This Row],[Year]],_dat69[[#This Row],[Quarter]]*3-1,15)</f>
        <v>35565</v>
      </c>
      <c r="C191" s="2">
        <f>_dat69[[#This Row],[Year]]+(_dat69[[#This Row],[Quarter]]-1)/4+1/8</f>
        <v>1997.375</v>
      </c>
      <c r="D191" s="2">
        <f>_dat69[[#This Row],[DecDate]]^2</f>
        <v>3989506.890625</v>
      </c>
      <c r="E191">
        <v>2</v>
      </c>
      <c r="F191">
        <v>1526</v>
      </c>
      <c r="G191">
        <f>LN(_dat69[[#This Row],[Expenditure]])</f>
        <v>7.3304052118444023</v>
      </c>
      <c r="H191">
        <f>$P$40+_dat69[[#This Row],[DecDate]]*$P$41</f>
        <v>7.2705765835832139</v>
      </c>
      <c r="I191" s="2">
        <f>$P$17+$P$18*_dat69[[#This Row],[DecDate]]+$P$19*_dat69[[#This Row],[DecDate^2]]</f>
        <v>7.287546471008028</v>
      </c>
      <c r="J191" s="2">
        <f>_dat69[[#This Row],[LOG(Expenditure 69)]]-_dat69[[#This Row],[Quadratic Trend LOG]]</f>
        <v>4.2858740836374309E-2</v>
      </c>
      <c r="K191" s="2">
        <f t="shared" si="2"/>
        <v>1.9954383487632833E-2</v>
      </c>
    </row>
    <row r="192" spans="1:11" x14ac:dyDescent="0.35">
      <c r="A192">
        <v>1997</v>
      </c>
      <c r="B192" s="1">
        <f>DATE(_dat69[[#This Row],[Year]],_dat69[[#This Row],[Quarter]]*3-1,15)</f>
        <v>35657</v>
      </c>
      <c r="C192" s="2">
        <f>_dat69[[#This Row],[Year]]+(_dat69[[#This Row],[Quarter]]-1)/4+1/8</f>
        <v>1997.625</v>
      </c>
      <c r="D192" s="2">
        <f>_dat69[[#This Row],[DecDate]]^2</f>
        <v>3990505.640625</v>
      </c>
      <c r="E192">
        <v>3</v>
      </c>
      <c r="F192">
        <v>1505</v>
      </c>
      <c r="G192">
        <f>LN(_dat69[[#This Row],[Expenditure]])</f>
        <v>7.3165481771829759</v>
      </c>
      <c r="H192">
        <f>$P$40+_dat69[[#This Row],[DecDate]]*$P$41</f>
        <v>7.272004323710922</v>
      </c>
      <c r="I192" s="2">
        <f>$P$17+$P$18*_dat69[[#This Row],[DecDate]]+$P$19*_dat69[[#This Row],[DecDate^2]]</f>
        <v>7.2886093490544681</v>
      </c>
      <c r="J192" s="2">
        <f>_dat69[[#This Row],[LOG(Expenditure 69)]]-_dat69[[#This Row],[Quadratic Trend LOG]]</f>
        <v>2.7938828128507787E-2</v>
      </c>
      <c r="K192" s="2">
        <f t="shared" si="2"/>
        <v>2.2942960658735068E-2</v>
      </c>
    </row>
    <row r="193" spans="1:11" x14ac:dyDescent="0.35">
      <c r="A193">
        <v>1997</v>
      </c>
      <c r="B193" s="1">
        <f>DATE(_dat69[[#This Row],[Year]],_dat69[[#This Row],[Quarter]]*3-1,15)</f>
        <v>35749</v>
      </c>
      <c r="C193" s="2">
        <f>_dat69[[#This Row],[Year]]+(_dat69[[#This Row],[Quarter]]-1)/4+1/8</f>
        <v>1997.875</v>
      </c>
      <c r="D193" s="2">
        <f>_dat69[[#This Row],[DecDate]]^2</f>
        <v>3991504.515625</v>
      </c>
      <c r="E193">
        <v>4</v>
      </c>
      <c r="F193">
        <v>1470</v>
      </c>
      <c r="G193">
        <f>LN(_dat69[[#This Row],[Expenditure]])</f>
        <v>7.2930176797727819</v>
      </c>
      <c r="H193">
        <f>$P$40+_dat69[[#This Row],[DecDate]]*$P$41</f>
        <v>7.2734320638386301</v>
      </c>
      <c r="I193" s="2">
        <f>$P$17+$P$18*_dat69[[#This Row],[DecDate]]+$P$19*_dat69[[#This Row],[DecDate^2]]</f>
        <v>7.2896646258076032</v>
      </c>
      <c r="J193" s="2">
        <f>_dat69[[#This Row],[LOG(Expenditure 69)]]-_dat69[[#This Row],[Quadratic Trend LOG]]</f>
        <v>3.3530539651787095E-3</v>
      </c>
      <c r="K193" s="2">
        <f t="shared" si="2"/>
        <v>2.77043529569573E-2</v>
      </c>
    </row>
    <row r="194" spans="1:11" x14ac:dyDescent="0.35">
      <c r="A194">
        <v>1998</v>
      </c>
      <c r="B194" s="1">
        <f>DATE(_dat69[[#This Row],[Year]],_dat69[[#This Row],[Quarter]]*3-1,15)</f>
        <v>35841</v>
      </c>
      <c r="C194" s="2">
        <f>_dat69[[#This Row],[Year]]+(_dat69[[#This Row],[Quarter]]-1)/4+1/8</f>
        <v>1998.125</v>
      </c>
      <c r="D194" s="2">
        <f>_dat69[[#This Row],[DecDate]]^2</f>
        <v>3992503.515625</v>
      </c>
      <c r="E194">
        <v>1</v>
      </c>
      <c r="F194">
        <v>1496</v>
      </c>
      <c r="G194">
        <f>LN(_dat69[[#This Row],[Expenditure]])</f>
        <v>7.3105501585344221</v>
      </c>
      <c r="H194">
        <f>$P$40+_dat69[[#This Row],[DecDate]]*$P$41</f>
        <v>7.2748598039663381</v>
      </c>
      <c r="I194" s="2">
        <f>$P$17+$P$18*_dat69[[#This Row],[DecDate]]+$P$19*_dat69[[#This Row],[DecDate^2]]</f>
        <v>7.2907123012673196</v>
      </c>
      <c r="J194" s="2">
        <f>_dat69[[#This Row],[LOG(Expenditure 69)]]-_dat69[[#This Row],[Quadratic Trend LOG]]</f>
        <v>1.9837857267102521E-2</v>
      </c>
      <c r="K194" s="2">
        <f t="shared" si="2"/>
        <v>1.9722649678194058E-2</v>
      </c>
    </row>
    <row r="195" spans="1:11" x14ac:dyDescent="0.35">
      <c r="A195">
        <v>1998</v>
      </c>
      <c r="B195" s="1">
        <f>DATE(_dat69[[#This Row],[Year]],_dat69[[#This Row],[Quarter]]*3-1,15)</f>
        <v>35930</v>
      </c>
      <c r="C195" s="2">
        <f>_dat69[[#This Row],[Year]]+(_dat69[[#This Row],[Quarter]]-1)/4+1/8</f>
        <v>1998.375</v>
      </c>
      <c r="D195" s="2">
        <f>_dat69[[#This Row],[DecDate]]^2</f>
        <v>3993502.640625</v>
      </c>
      <c r="E195">
        <v>2</v>
      </c>
      <c r="F195">
        <v>1535</v>
      </c>
      <c r="G195">
        <f>LN(_dat69[[#This Row],[Expenditure]])</f>
        <v>7.3362856600212973</v>
      </c>
      <c r="H195">
        <f>$P$40+_dat69[[#This Row],[DecDate]]*$P$41</f>
        <v>7.2762875440940462</v>
      </c>
      <c r="I195" s="2">
        <f>$P$17+$P$18*_dat69[[#This Row],[DecDate]]+$P$19*_dat69[[#This Row],[DecDate^2]]</f>
        <v>7.2917523754336742</v>
      </c>
      <c r="J195" s="2">
        <f>_dat69[[#This Row],[LOG(Expenditure 69)]]-_dat69[[#This Row],[Quadratic Trend LOG]]</f>
        <v>4.4533284587623179E-2</v>
      </c>
      <c r="K195" s="2">
        <f t="shared" si="2"/>
        <v>1.5061960376845285E-2</v>
      </c>
    </row>
    <row r="196" spans="1:11" x14ac:dyDescent="0.35">
      <c r="A196">
        <v>1998</v>
      </c>
      <c r="B196" s="1">
        <f>DATE(_dat69[[#This Row],[Year]],_dat69[[#This Row],[Quarter]]*3-1,15)</f>
        <v>36022</v>
      </c>
      <c r="C196" s="2">
        <f>_dat69[[#This Row],[Year]]+(_dat69[[#This Row],[Quarter]]-1)/4+1/8</f>
        <v>1998.625</v>
      </c>
      <c r="D196" s="2">
        <f>_dat69[[#This Row],[DecDate]]^2</f>
        <v>3994501.890625</v>
      </c>
      <c r="E196">
        <v>3</v>
      </c>
      <c r="F196">
        <v>1474</v>
      </c>
      <c r="G196">
        <f>LN(_dat69[[#This Row],[Expenditure]])</f>
        <v>7.2957350727492818</v>
      </c>
      <c r="H196">
        <f>$P$40+_dat69[[#This Row],[DecDate]]*$P$41</f>
        <v>7.2777152842217543</v>
      </c>
      <c r="I196" s="2">
        <f>$P$17+$P$18*_dat69[[#This Row],[DecDate]]+$P$19*_dat69[[#This Row],[DecDate^2]]</f>
        <v>7.2927848483067237</v>
      </c>
      <c r="J196" s="2">
        <f>_dat69[[#This Row],[LOG(Expenditure 69)]]-_dat69[[#This Row],[Quadratic Trend LOG]]</f>
        <v>2.9502244425581026E-3</v>
      </c>
      <c r="K196" s="2">
        <f t="shared" si="2"/>
        <v>1.3757193384171274E-2</v>
      </c>
    </row>
    <row r="197" spans="1:11" x14ac:dyDescent="0.35">
      <c r="A197">
        <v>1998</v>
      </c>
      <c r="B197" s="1">
        <f>DATE(_dat69[[#This Row],[Year]],_dat69[[#This Row],[Quarter]]*3-1,15)</f>
        <v>36114</v>
      </c>
      <c r="C197" s="2">
        <f>_dat69[[#This Row],[Year]]+(_dat69[[#This Row],[Quarter]]-1)/4+1/8</f>
        <v>1998.875</v>
      </c>
      <c r="D197" s="2">
        <f>_dat69[[#This Row],[DecDate]]^2</f>
        <v>3995501.265625</v>
      </c>
      <c r="E197">
        <v>4</v>
      </c>
      <c r="F197">
        <v>1478</v>
      </c>
      <c r="G197">
        <f>LN(_dat69[[#This Row],[Expenditure]])</f>
        <v>7.2984451015081468</v>
      </c>
      <c r="H197">
        <f>$P$40+_dat69[[#This Row],[DecDate]]*$P$41</f>
        <v>7.2791430243494606</v>
      </c>
      <c r="I197" s="2">
        <f>$P$17+$P$18*_dat69[[#This Row],[DecDate]]+$P$19*_dat69[[#This Row],[DecDate^2]]</f>
        <v>7.2938097198863829</v>
      </c>
      <c r="J197" s="2">
        <f>_dat69[[#This Row],[LOG(Expenditure 69)]]-_dat69[[#This Row],[Quadratic Trend LOG]]</f>
        <v>4.6353816217639121E-3</v>
      </c>
      <c r="K197" s="2">
        <f t="shared" ref="K197:K260" si="3">AVERAGE(J195:J199)</f>
        <v>1.3532856562437879E-2</v>
      </c>
    </row>
    <row r="198" spans="1:11" x14ac:dyDescent="0.35">
      <c r="A198">
        <v>1999</v>
      </c>
      <c r="B198" s="1">
        <f>DATE(_dat69[[#This Row],[Year]],_dat69[[#This Row],[Quarter]]*3-1,15)</f>
        <v>36206</v>
      </c>
      <c r="C198" s="2">
        <f>_dat69[[#This Row],[Year]]+(_dat69[[#This Row],[Quarter]]-1)/4+1/8</f>
        <v>1999.125</v>
      </c>
      <c r="D198" s="2">
        <f>_dat69[[#This Row],[DecDate]]^2</f>
        <v>3996500.765625</v>
      </c>
      <c r="E198">
        <v>1</v>
      </c>
      <c r="F198">
        <v>1468</v>
      </c>
      <c r="G198">
        <f>LN(_dat69[[#This Row],[Expenditure]])</f>
        <v>7.2916562091744606</v>
      </c>
      <c r="H198">
        <f>$P$40+_dat69[[#This Row],[DecDate]]*$P$41</f>
        <v>7.2805707644771687</v>
      </c>
      <c r="I198" s="2">
        <f>$P$17+$P$18*_dat69[[#This Row],[DecDate]]+$P$19*_dat69[[#This Row],[DecDate^2]]</f>
        <v>7.2948269901726519</v>
      </c>
      <c r="J198" s="2">
        <f>_dat69[[#This Row],[LOG(Expenditure 69)]]-_dat69[[#This Row],[Quadratic Trend LOG]]</f>
        <v>-3.1707809981913471E-3</v>
      </c>
      <c r="K198" s="2">
        <f t="shared" si="3"/>
        <v>1.1601448217168553E-2</v>
      </c>
    </row>
    <row r="199" spans="1:11" x14ac:dyDescent="0.35">
      <c r="A199">
        <v>1999</v>
      </c>
      <c r="B199" s="1">
        <f>DATE(_dat69[[#This Row],[Year]],_dat69[[#This Row],[Quarter]]*3-1,15)</f>
        <v>36295</v>
      </c>
      <c r="C199" s="2">
        <f>_dat69[[#This Row],[Year]]+(_dat69[[#This Row],[Quarter]]-1)/4+1/8</f>
        <v>1999.375</v>
      </c>
      <c r="D199" s="2">
        <f>_dat69[[#This Row],[DecDate]]^2</f>
        <v>3997500.390625</v>
      </c>
      <c r="E199">
        <v>2</v>
      </c>
      <c r="F199">
        <v>1502</v>
      </c>
      <c r="G199">
        <f>LN(_dat69[[#This Row],[Expenditure]])</f>
        <v>7.3145528323240798</v>
      </c>
      <c r="H199">
        <f>$P$40+_dat69[[#This Row],[DecDate]]*$P$41</f>
        <v>7.2819985046048767</v>
      </c>
      <c r="I199" s="2">
        <f>$P$17+$P$18*_dat69[[#This Row],[DecDate]]+$P$19*_dat69[[#This Row],[DecDate^2]]</f>
        <v>7.2958366591656443</v>
      </c>
      <c r="J199" s="2">
        <f>_dat69[[#This Row],[LOG(Expenditure 69)]]-_dat69[[#This Row],[Quadratic Trend LOG]]</f>
        <v>1.8716173158435545E-2</v>
      </c>
      <c r="K199" s="2">
        <f t="shared" si="3"/>
        <v>2.4217266898443057E-3</v>
      </c>
    </row>
    <row r="200" spans="1:11" x14ac:dyDescent="0.35">
      <c r="A200">
        <v>1999</v>
      </c>
      <c r="B200" s="1">
        <f>DATE(_dat69[[#This Row],[Year]],_dat69[[#This Row],[Quarter]]*3-1,15)</f>
        <v>36387</v>
      </c>
      <c r="C200" s="2">
        <f>_dat69[[#This Row],[Year]]+(_dat69[[#This Row],[Quarter]]-1)/4+1/8</f>
        <v>1999.625</v>
      </c>
      <c r="D200" s="2">
        <f>_dat69[[#This Row],[DecDate]]^2</f>
        <v>3998500.140625</v>
      </c>
      <c r="E200">
        <v>3</v>
      </c>
      <c r="F200">
        <v>1528</v>
      </c>
      <c r="G200">
        <f>LN(_dat69[[#This Row],[Expenditure]])</f>
        <v>7.3317149697264661</v>
      </c>
      <c r="H200">
        <f>$P$40+_dat69[[#This Row],[DecDate]]*$P$41</f>
        <v>7.2834262447325848</v>
      </c>
      <c r="I200" s="2">
        <f>$P$17+$P$18*_dat69[[#This Row],[DecDate]]+$P$19*_dat69[[#This Row],[DecDate^2]]</f>
        <v>7.2968387268651895</v>
      </c>
      <c r="J200" s="2">
        <f>_dat69[[#This Row],[LOG(Expenditure 69)]]-_dat69[[#This Row],[Quadratic Trend LOG]]</f>
        <v>3.4876242861276552E-2</v>
      </c>
      <c r="K200" s="2">
        <f t="shared" si="3"/>
        <v>-1.8546296926771789E-3</v>
      </c>
    </row>
    <row r="201" spans="1:11" x14ac:dyDescent="0.35">
      <c r="A201">
        <v>1999</v>
      </c>
      <c r="B201" s="1">
        <f>DATE(_dat69[[#This Row],[Year]],_dat69[[#This Row],[Quarter]]*3-1,15)</f>
        <v>36479</v>
      </c>
      <c r="C201" s="2">
        <f>_dat69[[#This Row],[Year]]+(_dat69[[#This Row],[Quarter]]-1)/4+1/8</f>
        <v>1999.875</v>
      </c>
      <c r="D201" s="2">
        <f>_dat69[[#This Row],[DecDate]]^2</f>
        <v>3999500.015625</v>
      </c>
      <c r="E201">
        <v>4</v>
      </c>
      <c r="F201">
        <v>1415</v>
      </c>
      <c r="G201">
        <f>LN(_dat69[[#This Row],[Expenditure]])</f>
        <v>7.2548848100773382</v>
      </c>
      <c r="H201">
        <f>$P$40+_dat69[[#This Row],[DecDate]]*$P$41</f>
        <v>7.2848539848602929</v>
      </c>
      <c r="I201" s="2">
        <f>$P$17+$P$18*_dat69[[#This Row],[DecDate]]+$P$19*_dat69[[#This Row],[DecDate^2]]</f>
        <v>7.2978331932714013</v>
      </c>
      <c r="J201" s="2">
        <f>_dat69[[#This Row],[LOG(Expenditure 69)]]-_dat69[[#This Row],[Quadratic Trend LOG]]</f>
        <v>-4.2948383194063133E-2</v>
      </c>
      <c r="K201" s="2">
        <f t="shared" si="3"/>
        <v>-4.4906921824718893E-3</v>
      </c>
    </row>
    <row r="202" spans="1:11" x14ac:dyDescent="0.35">
      <c r="A202">
        <v>2000</v>
      </c>
      <c r="B202" s="1">
        <f>DATE(_dat69[[#This Row],[Year]],_dat69[[#This Row],[Quarter]]*3-1,15)</f>
        <v>36571</v>
      </c>
      <c r="C202" s="2">
        <f>_dat69[[#This Row],[Year]]+(_dat69[[#This Row],[Quarter]]-1)/4+1/8</f>
        <v>2000.125</v>
      </c>
      <c r="D202" s="2">
        <f>_dat69[[#This Row],[DecDate]]^2</f>
        <v>4000500.015625</v>
      </c>
      <c r="E202">
        <v>1</v>
      </c>
      <c r="F202">
        <v>1454</v>
      </c>
      <c r="G202">
        <f>LN(_dat69[[#This Row],[Expenditure]])</f>
        <v>7.2820736580934646</v>
      </c>
      <c r="H202">
        <f>$P$40+_dat69[[#This Row],[DecDate]]*$P$41</f>
        <v>7.286281724988001</v>
      </c>
      <c r="I202" s="2">
        <f>$P$17+$P$18*_dat69[[#This Row],[DecDate]]+$P$19*_dat69[[#This Row],[DecDate^2]]</f>
        <v>7.2988200583843081</v>
      </c>
      <c r="J202" s="2">
        <f>_dat69[[#This Row],[LOG(Expenditure 69)]]-_dat69[[#This Row],[Quadratic Trend LOG]]</f>
        <v>-1.6746400290843511E-2</v>
      </c>
      <c r="K202" s="2">
        <f t="shared" si="3"/>
        <v>-4.8058467860858658E-4</v>
      </c>
    </row>
    <row r="203" spans="1:11" x14ac:dyDescent="0.35">
      <c r="A203">
        <v>2000</v>
      </c>
      <c r="B203" s="1">
        <f>DATE(_dat69[[#This Row],[Year]],_dat69[[#This Row],[Quarter]]*3-1,15)</f>
        <v>36661</v>
      </c>
      <c r="C203" s="2">
        <f>_dat69[[#This Row],[Year]]+(_dat69[[#This Row],[Quarter]]-1)/4+1/8</f>
        <v>2000.375</v>
      </c>
      <c r="D203" s="2">
        <f>_dat69[[#This Row],[DecDate]]^2</f>
        <v>4001500.140625</v>
      </c>
      <c r="E203">
        <v>2</v>
      </c>
      <c r="F203">
        <v>1456</v>
      </c>
      <c r="G203">
        <f>LN(_dat69[[#This Row],[Expenditure]])</f>
        <v>7.2834482287566313</v>
      </c>
      <c r="H203">
        <f>$P$40+_dat69[[#This Row],[DecDate]]*$P$41</f>
        <v>7.2877094651157073</v>
      </c>
      <c r="I203" s="2">
        <f>$P$17+$P$18*_dat69[[#This Row],[DecDate]]+$P$19*_dat69[[#This Row],[DecDate^2]]</f>
        <v>7.2997993222037962</v>
      </c>
      <c r="J203" s="2">
        <f>_dat69[[#This Row],[LOG(Expenditure 69)]]-_dat69[[#This Row],[Quadratic Trend LOG]]</f>
        <v>-1.6351093447164899E-2</v>
      </c>
      <c r="K203" s="2">
        <f t="shared" si="3"/>
        <v>-1.2629922334106069E-2</v>
      </c>
    </row>
    <row r="204" spans="1:11" x14ac:dyDescent="0.35">
      <c r="A204">
        <v>2000</v>
      </c>
      <c r="B204" s="1">
        <f>DATE(_dat69[[#This Row],[Year]],_dat69[[#This Row],[Quarter]]*3-1,15)</f>
        <v>36753</v>
      </c>
      <c r="C204" s="2">
        <f>_dat69[[#This Row],[Year]]+(_dat69[[#This Row],[Quarter]]-1)/4+1/8</f>
        <v>2000.625</v>
      </c>
      <c r="D204" s="2">
        <f>_dat69[[#This Row],[DecDate]]^2</f>
        <v>4002500.390625</v>
      </c>
      <c r="E204">
        <v>3</v>
      </c>
      <c r="F204">
        <v>1540</v>
      </c>
      <c r="G204">
        <f>LN(_dat69[[#This Row],[Expenditure]])</f>
        <v>7.3395376954076745</v>
      </c>
      <c r="H204">
        <f>$P$40+_dat69[[#This Row],[DecDate]]*$P$41</f>
        <v>7.2891372052434154</v>
      </c>
      <c r="I204" s="2">
        <f>$P$17+$P$18*_dat69[[#This Row],[DecDate]]+$P$19*_dat69[[#This Row],[DecDate^2]]</f>
        <v>7.3007709847299225</v>
      </c>
      <c r="J204" s="2">
        <f>_dat69[[#This Row],[LOG(Expenditure 69)]]-_dat69[[#This Row],[Quadratic Trend LOG]]</f>
        <v>3.8766710677752059E-2</v>
      </c>
      <c r="K204" s="2">
        <f t="shared" si="3"/>
        <v>-4.8895265740933171E-3</v>
      </c>
    </row>
    <row r="205" spans="1:11" x14ac:dyDescent="0.35">
      <c r="A205">
        <v>2000</v>
      </c>
      <c r="B205" s="1">
        <f>DATE(_dat69[[#This Row],[Year]],_dat69[[#This Row],[Quarter]]*3-1,15)</f>
        <v>36845</v>
      </c>
      <c r="C205" s="2">
        <f>_dat69[[#This Row],[Year]]+(_dat69[[#This Row],[Quarter]]-1)/4+1/8</f>
        <v>2000.875</v>
      </c>
      <c r="D205" s="2">
        <f>_dat69[[#This Row],[DecDate]]^2</f>
        <v>4003500.765625</v>
      </c>
      <c r="E205">
        <v>4</v>
      </c>
      <c r="F205">
        <v>1445</v>
      </c>
      <c r="G205">
        <f>LN(_dat69[[#This Row],[Expenditure]])</f>
        <v>7.2758646005465328</v>
      </c>
      <c r="H205">
        <f>$P$40+_dat69[[#This Row],[DecDate]]*$P$41</f>
        <v>7.2905649453711234</v>
      </c>
      <c r="I205" s="2">
        <f>$P$17+$P$18*_dat69[[#This Row],[DecDate]]+$P$19*_dat69[[#This Row],[DecDate^2]]</f>
        <v>7.3017350459627437</v>
      </c>
      <c r="J205" s="2">
        <f>_dat69[[#This Row],[LOG(Expenditure 69)]]-_dat69[[#This Row],[Quadratic Trend LOG]]</f>
        <v>-2.5870445416210863E-2</v>
      </c>
      <c r="K205" s="2">
        <f t="shared" si="3"/>
        <v>-9.4622908456617697E-3</v>
      </c>
    </row>
    <row r="206" spans="1:11" x14ac:dyDescent="0.35">
      <c r="A206">
        <v>2001</v>
      </c>
      <c r="B206" s="1">
        <f>DATE(_dat69[[#This Row],[Year]],_dat69[[#This Row],[Quarter]]*3-1,15)</f>
        <v>36937</v>
      </c>
      <c r="C206" s="2">
        <f>_dat69[[#This Row],[Year]]+(_dat69[[#This Row],[Quarter]]-1)/4+1/8</f>
        <v>2001.125</v>
      </c>
      <c r="D206" s="2">
        <f>_dat69[[#This Row],[DecDate]]^2</f>
        <v>4004501.265625</v>
      </c>
      <c r="E206">
        <v>1</v>
      </c>
      <c r="F206">
        <v>1478</v>
      </c>
      <c r="G206">
        <f>LN(_dat69[[#This Row],[Expenditure]])</f>
        <v>7.2984451015081468</v>
      </c>
      <c r="H206">
        <f>$P$40+_dat69[[#This Row],[DecDate]]*$P$41</f>
        <v>7.2919926854988315</v>
      </c>
      <c r="I206" s="2">
        <f>$P$17+$P$18*_dat69[[#This Row],[DecDate]]+$P$19*_dat69[[#This Row],[DecDate^2]]</f>
        <v>7.3026915059021462</v>
      </c>
      <c r="J206" s="2">
        <f>_dat69[[#This Row],[LOG(Expenditure 69)]]-_dat69[[#This Row],[Quadratic Trend LOG]]</f>
        <v>-4.2464043939993701E-3</v>
      </c>
      <c r="K206" s="2">
        <f t="shared" si="3"/>
        <v>-8.9134409078226902E-3</v>
      </c>
    </row>
    <row r="207" spans="1:11" x14ac:dyDescent="0.35">
      <c r="A207">
        <v>2001</v>
      </c>
      <c r="B207" s="1">
        <f>DATE(_dat69[[#This Row],[Year]],_dat69[[#This Row],[Quarter]]*3-1,15)</f>
        <v>37026</v>
      </c>
      <c r="C207" s="2">
        <f>_dat69[[#This Row],[Year]]+(_dat69[[#This Row],[Quarter]]-1)/4+1/8</f>
        <v>2001.375</v>
      </c>
      <c r="D207" s="2">
        <f>_dat69[[#This Row],[DecDate]]^2</f>
        <v>4005501.890625</v>
      </c>
      <c r="E207">
        <v>2</v>
      </c>
      <c r="F207">
        <v>1428</v>
      </c>
      <c r="G207">
        <f>LN(_dat69[[#This Row],[Expenditure]])</f>
        <v>7.2640301428995295</v>
      </c>
      <c r="H207">
        <f>$P$40+_dat69[[#This Row],[DecDate]]*$P$41</f>
        <v>7.2934204256265396</v>
      </c>
      <c r="I207" s="2">
        <f>$P$17+$P$18*_dat69[[#This Row],[DecDate]]+$P$19*_dat69[[#This Row],[DecDate^2]]</f>
        <v>7.3036403645482153</v>
      </c>
      <c r="J207" s="2">
        <f>_dat69[[#This Row],[LOG(Expenditure 69)]]-_dat69[[#This Row],[Quadratic Trend LOG]]</f>
        <v>-3.9610221648685773E-2</v>
      </c>
      <c r="K207" s="2">
        <f t="shared" si="3"/>
        <v>-2.5384420094876424E-2</v>
      </c>
    </row>
    <row r="208" spans="1:11" x14ac:dyDescent="0.35">
      <c r="A208">
        <v>2001</v>
      </c>
      <c r="B208" s="1">
        <f>DATE(_dat69[[#This Row],[Year]],_dat69[[#This Row],[Quarter]]*3-1,15)</f>
        <v>37118</v>
      </c>
      <c r="C208" s="2">
        <f>_dat69[[#This Row],[Year]]+(_dat69[[#This Row],[Quarter]]-1)/4+1/8</f>
        <v>2001.625</v>
      </c>
      <c r="D208" s="2">
        <f>_dat69[[#This Row],[DecDate]]^2</f>
        <v>4006502.640625</v>
      </c>
      <c r="E208">
        <v>3</v>
      </c>
      <c r="F208">
        <v>1467</v>
      </c>
      <c r="G208">
        <f>LN(_dat69[[#This Row],[Expenditure]])</f>
        <v>7.2909747781429814</v>
      </c>
      <c r="H208">
        <f>$P$40+_dat69[[#This Row],[DecDate]]*$P$41</f>
        <v>7.2948481657542477</v>
      </c>
      <c r="I208" s="2">
        <f>$P$17+$P$18*_dat69[[#This Row],[DecDate]]+$P$19*_dat69[[#This Row],[DecDate^2]]</f>
        <v>7.3045816219009509</v>
      </c>
      <c r="J208" s="2">
        <f>_dat69[[#This Row],[LOG(Expenditure 69)]]-_dat69[[#This Row],[Quadratic Trend LOG]]</f>
        <v>-1.36068437579695E-2</v>
      </c>
      <c r="K208" s="2">
        <f t="shared" si="3"/>
        <v>-2.2759053436596944E-2</v>
      </c>
    </row>
    <row r="209" spans="1:11" x14ac:dyDescent="0.35">
      <c r="A209">
        <v>2001</v>
      </c>
      <c r="B209" s="1">
        <f>DATE(_dat69[[#This Row],[Year]],_dat69[[#This Row],[Quarter]]*3-1,15)</f>
        <v>37210</v>
      </c>
      <c r="C209" s="2">
        <f>_dat69[[#This Row],[Year]]+(_dat69[[#This Row],[Quarter]]-1)/4+1/8</f>
        <v>2001.875</v>
      </c>
      <c r="D209" s="2">
        <f>_dat69[[#This Row],[DecDate]]^2</f>
        <v>4007503.515625</v>
      </c>
      <c r="E209">
        <v>4</v>
      </c>
      <c r="F209">
        <v>1425</v>
      </c>
      <c r="G209">
        <f>LN(_dat69[[#This Row],[Expenditure]])</f>
        <v>7.2619270927027513</v>
      </c>
      <c r="H209">
        <f>$P$40+_dat69[[#This Row],[DecDate]]*$P$41</f>
        <v>7.296275905881954</v>
      </c>
      <c r="I209" s="2">
        <f>$P$17+$P$18*_dat69[[#This Row],[DecDate]]+$P$19*_dat69[[#This Row],[DecDate^2]]</f>
        <v>7.3055152779602679</v>
      </c>
      <c r="J209" s="2">
        <f>_dat69[[#This Row],[LOG(Expenditure 69)]]-_dat69[[#This Row],[Quadratic Trend LOG]]</f>
        <v>-4.3588185257516621E-2</v>
      </c>
      <c r="K209" s="2">
        <f t="shared" si="3"/>
        <v>-1.6124597793317895E-2</v>
      </c>
    </row>
    <row r="210" spans="1:11" x14ac:dyDescent="0.35">
      <c r="A210">
        <v>2002</v>
      </c>
      <c r="B210" s="1">
        <f>DATE(_dat69[[#This Row],[Year]],_dat69[[#This Row],[Quarter]]*3-1,15)</f>
        <v>37302</v>
      </c>
      <c r="C210" s="2">
        <f>_dat69[[#This Row],[Year]]+(_dat69[[#This Row],[Quarter]]-1)/4+1/8</f>
        <v>2002.125</v>
      </c>
      <c r="D210" s="2">
        <f>_dat69[[#This Row],[DecDate]]^2</f>
        <v>4008504.515625</v>
      </c>
      <c r="E210">
        <v>1</v>
      </c>
      <c r="F210">
        <v>1471</v>
      </c>
      <c r="G210">
        <f>LN(_dat69[[#This Row],[Expenditure]])</f>
        <v>7.293697720601438</v>
      </c>
      <c r="H210">
        <f>$P$40+_dat69[[#This Row],[DecDate]]*$P$41</f>
        <v>7.297703646009662</v>
      </c>
      <c r="I210" s="2">
        <f>$P$17+$P$18*_dat69[[#This Row],[DecDate]]+$P$19*_dat69[[#This Row],[DecDate^2]]</f>
        <v>7.3064413327262514</v>
      </c>
      <c r="J210" s="2">
        <f>_dat69[[#This Row],[LOG(Expenditure 69)]]-_dat69[[#This Row],[Quadratic Trend LOG]]</f>
        <v>-1.2743612124813453E-2</v>
      </c>
      <c r="K210" s="2">
        <f t="shared" si="3"/>
        <v>2.1641134586174006E-3</v>
      </c>
    </row>
    <row r="211" spans="1:11" x14ac:dyDescent="0.35">
      <c r="A211">
        <v>2002</v>
      </c>
      <c r="B211" s="1">
        <f>DATE(_dat69[[#This Row],[Year]],_dat69[[#This Row],[Quarter]]*3-1,15)</f>
        <v>37391</v>
      </c>
      <c r="C211" s="2">
        <f>_dat69[[#This Row],[Year]]+(_dat69[[#This Row],[Quarter]]-1)/4+1/8</f>
        <v>2002.375</v>
      </c>
      <c r="D211" s="2">
        <f>_dat69[[#This Row],[DecDate]]^2</f>
        <v>4009505.640625</v>
      </c>
      <c r="E211">
        <v>2</v>
      </c>
      <c r="F211">
        <v>1535</v>
      </c>
      <c r="G211">
        <f>LN(_dat69[[#This Row],[Expenditure]])</f>
        <v>7.3362856600212973</v>
      </c>
      <c r="H211">
        <f>$P$40+_dat69[[#This Row],[DecDate]]*$P$41</f>
        <v>7.2991313861373701</v>
      </c>
      <c r="I211" s="2">
        <f>$P$17+$P$18*_dat69[[#This Row],[DecDate]]+$P$19*_dat69[[#This Row],[DecDate^2]]</f>
        <v>7.3073597861989015</v>
      </c>
      <c r="J211" s="2">
        <f>_dat69[[#This Row],[LOG(Expenditure 69)]]-_dat69[[#This Row],[Quadratic Trend LOG]]</f>
        <v>2.8925873822395864E-2</v>
      </c>
      <c r="K211" s="2">
        <f t="shared" si="3"/>
        <v>-5.3456402390761326E-4</v>
      </c>
    </row>
    <row r="212" spans="1:11" x14ac:dyDescent="0.35">
      <c r="A212">
        <v>2002</v>
      </c>
      <c r="B212" s="1">
        <f>DATE(_dat69[[#This Row],[Year]],_dat69[[#This Row],[Quarter]]*3-1,15)</f>
        <v>37483</v>
      </c>
      <c r="C212" s="2">
        <f>_dat69[[#This Row],[Year]]+(_dat69[[#This Row],[Quarter]]-1)/4+1/8</f>
        <v>2002.625</v>
      </c>
      <c r="D212" s="2">
        <f>_dat69[[#This Row],[DecDate]]^2</f>
        <v>4010506.890625</v>
      </c>
      <c r="E212">
        <v>3</v>
      </c>
      <c r="F212">
        <v>1572</v>
      </c>
      <c r="G212">
        <f>LN(_dat69[[#This Row],[Expenditure]])</f>
        <v>7.360103972989152</v>
      </c>
      <c r="H212">
        <f>$P$40+_dat69[[#This Row],[DecDate]]*$P$41</f>
        <v>7.3005591262650782</v>
      </c>
      <c r="I212" s="2">
        <f>$P$17+$P$18*_dat69[[#This Row],[DecDate]]+$P$19*_dat69[[#This Row],[DecDate^2]]</f>
        <v>7.3082706383781613</v>
      </c>
      <c r="J212" s="2">
        <f>_dat69[[#This Row],[LOG(Expenditure 69)]]-_dat69[[#This Row],[Quadratic Trend LOG]]</f>
        <v>5.1833334610990711E-2</v>
      </c>
      <c r="K212" s="2">
        <f t="shared" si="3"/>
        <v>3.2704749608223338E-3</v>
      </c>
    </row>
    <row r="213" spans="1:11" x14ac:dyDescent="0.35">
      <c r="A213">
        <v>2002</v>
      </c>
      <c r="B213" s="1">
        <f>DATE(_dat69[[#This Row],[Year]],_dat69[[#This Row],[Quarter]]*3-1,15)</f>
        <v>37575</v>
      </c>
      <c r="C213" s="2">
        <f>_dat69[[#This Row],[Year]]+(_dat69[[#This Row],[Quarter]]-1)/4+1/8</f>
        <v>2002.875</v>
      </c>
      <c r="D213" s="2">
        <f>_dat69[[#This Row],[DecDate]]^2</f>
        <v>4011508.265625</v>
      </c>
      <c r="E213">
        <v>4</v>
      </c>
      <c r="F213">
        <v>1454</v>
      </c>
      <c r="G213">
        <f>LN(_dat69[[#This Row],[Expenditure]])</f>
        <v>7.2820736580934646</v>
      </c>
      <c r="H213">
        <f>$P$40+_dat69[[#This Row],[DecDate]]*$P$41</f>
        <v>7.3019868663927863</v>
      </c>
      <c r="I213" s="2">
        <f>$P$17+$P$18*_dat69[[#This Row],[DecDate]]+$P$19*_dat69[[#This Row],[DecDate^2]]</f>
        <v>7.3091738892640592</v>
      </c>
      <c r="J213" s="2">
        <f>_dat69[[#This Row],[LOG(Expenditure 69)]]-_dat69[[#This Row],[Quadratic Trend LOG]]</f>
        <v>-2.7100231170594569E-2</v>
      </c>
      <c r="K213" s="2">
        <f t="shared" si="3"/>
        <v>-1.199399936073675E-3</v>
      </c>
    </row>
    <row r="214" spans="1:11" x14ac:dyDescent="0.35">
      <c r="A214">
        <v>2003</v>
      </c>
      <c r="B214" s="1">
        <f>DATE(_dat69[[#This Row],[Year]],_dat69[[#This Row],[Quarter]]*3-1,15)</f>
        <v>37667</v>
      </c>
      <c r="C214" s="2">
        <f>_dat69[[#This Row],[Year]]+(_dat69[[#This Row],[Quarter]]-1)/4+1/8</f>
        <v>2003.125</v>
      </c>
      <c r="D214" s="2">
        <f>_dat69[[#This Row],[DecDate]]^2</f>
        <v>4012509.765625</v>
      </c>
      <c r="E214">
        <v>1</v>
      </c>
      <c r="F214">
        <v>1459</v>
      </c>
      <c r="G214">
        <f>LN(_dat69[[#This Row],[Expenditure]])</f>
        <v>7.2855065485227852</v>
      </c>
      <c r="H214">
        <f>$P$40+_dat69[[#This Row],[DecDate]]*$P$41</f>
        <v>7.3034146065204943</v>
      </c>
      <c r="I214" s="2">
        <f>$P$17+$P$18*_dat69[[#This Row],[DecDate]]+$P$19*_dat69[[#This Row],[DecDate^2]]</f>
        <v>7.3100695388566521</v>
      </c>
      <c r="J214" s="2">
        <f>_dat69[[#This Row],[LOG(Expenditure 69)]]-_dat69[[#This Row],[Quadratic Trend LOG]]</f>
        <v>-2.4562990333866885E-2</v>
      </c>
      <c r="K214" s="2">
        <f t="shared" si="3"/>
        <v>-6.3085035822856737E-3</v>
      </c>
    </row>
    <row r="215" spans="1:11" x14ac:dyDescent="0.35">
      <c r="A215">
        <v>2003</v>
      </c>
      <c r="B215" s="1">
        <f>DATE(_dat69[[#This Row],[Year]],_dat69[[#This Row],[Quarter]]*3-1,15)</f>
        <v>37756</v>
      </c>
      <c r="C215" s="2">
        <f>_dat69[[#This Row],[Year]]+(_dat69[[#This Row],[Quarter]]-1)/4+1/8</f>
        <v>2003.375</v>
      </c>
      <c r="D215" s="2">
        <f>_dat69[[#This Row],[DecDate]]^2</f>
        <v>4013511.390625</v>
      </c>
      <c r="E215">
        <v>2</v>
      </c>
      <c r="F215">
        <v>1445</v>
      </c>
      <c r="G215">
        <f>LN(_dat69[[#This Row],[Expenditure]])</f>
        <v>7.2758646005465328</v>
      </c>
      <c r="H215">
        <f>$P$40+_dat69[[#This Row],[DecDate]]*$P$41</f>
        <v>7.3048423466482006</v>
      </c>
      <c r="I215" s="2">
        <f>$P$17+$P$18*_dat69[[#This Row],[DecDate]]+$P$19*_dat69[[#This Row],[DecDate^2]]</f>
        <v>7.3109575871558263</v>
      </c>
      <c r="J215" s="2">
        <f>_dat69[[#This Row],[LOG(Expenditure 69)]]-_dat69[[#This Row],[Quadratic Trend LOG]]</f>
        <v>-3.5092986609293497E-2</v>
      </c>
      <c r="K215" s="2">
        <f t="shared" si="3"/>
        <v>-3.1087407628219842E-2</v>
      </c>
    </row>
    <row r="216" spans="1:11" x14ac:dyDescent="0.35">
      <c r="A216">
        <v>2003</v>
      </c>
      <c r="B216" s="1">
        <f>DATE(_dat69[[#This Row],[Year]],_dat69[[#This Row],[Quarter]]*3-1,15)</f>
        <v>37848</v>
      </c>
      <c r="C216" s="2">
        <f>_dat69[[#This Row],[Year]]+(_dat69[[#This Row],[Quarter]]-1)/4+1/8</f>
        <v>2003.625</v>
      </c>
      <c r="D216" s="2">
        <f>_dat69[[#This Row],[DecDate]]^2</f>
        <v>4014513.140625</v>
      </c>
      <c r="E216">
        <v>3</v>
      </c>
      <c r="F216">
        <v>1503</v>
      </c>
      <c r="G216">
        <f>LN(_dat69[[#This Row],[Expenditure]])</f>
        <v>7.3152183897529746</v>
      </c>
      <c r="H216">
        <f>$P$40+_dat69[[#This Row],[DecDate]]*$P$41</f>
        <v>7.3062700867759087</v>
      </c>
      <c r="I216" s="2">
        <f>$P$17+$P$18*_dat69[[#This Row],[DecDate]]+$P$19*_dat69[[#This Row],[DecDate^2]]</f>
        <v>7.3118380341616387</v>
      </c>
      <c r="J216" s="2">
        <f>_dat69[[#This Row],[LOG(Expenditure 69)]]-_dat69[[#This Row],[Quadratic Trend LOG]]</f>
        <v>3.3803555913358707E-3</v>
      </c>
      <c r="K216" s="2">
        <f t="shared" si="3"/>
        <v>-3.1007303902607929E-2</v>
      </c>
    </row>
    <row r="217" spans="1:11" x14ac:dyDescent="0.35">
      <c r="A217">
        <v>2003</v>
      </c>
      <c r="B217" s="1">
        <f>DATE(_dat69[[#This Row],[Year]],_dat69[[#This Row],[Quarter]]*3-1,15)</f>
        <v>37940</v>
      </c>
      <c r="C217" s="2">
        <f>_dat69[[#This Row],[Year]]+(_dat69[[#This Row],[Quarter]]-1)/4+1/8</f>
        <v>2003.875</v>
      </c>
      <c r="D217" s="2">
        <f>_dat69[[#This Row],[DecDate]]^2</f>
        <v>4015515.015625</v>
      </c>
      <c r="E217">
        <v>4</v>
      </c>
      <c r="F217">
        <v>1395</v>
      </c>
      <c r="G217">
        <f>LN(_dat69[[#This Row],[Expenditure]])</f>
        <v>7.2406496942554659</v>
      </c>
      <c r="H217">
        <f>$P$40+_dat69[[#This Row],[DecDate]]*$P$41</f>
        <v>7.3076978269036168</v>
      </c>
      <c r="I217" s="2">
        <f>$P$17+$P$18*_dat69[[#This Row],[DecDate]]+$P$19*_dat69[[#This Row],[DecDate^2]]</f>
        <v>7.312710879874146</v>
      </c>
      <c r="J217" s="2">
        <f>_dat69[[#This Row],[LOG(Expenditure 69)]]-_dat69[[#This Row],[Quadratic Trend LOG]]</f>
        <v>-7.2061185618680135E-2</v>
      </c>
      <c r="K217" s="2">
        <f t="shared" si="3"/>
        <v>-3.3393744730500254E-2</v>
      </c>
    </row>
    <row r="218" spans="1:11" x14ac:dyDescent="0.35">
      <c r="A218">
        <v>2004</v>
      </c>
      <c r="B218" s="1">
        <f>DATE(_dat69[[#This Row],[Year]],_dat69[[#This Row],[Quarter]]*3-1,15)</f>
        <v>38032</v>
      </c>
      <c r="C218" s="2">
        <f>_dat69[[#This Row],[Year]]+(_dat69[[#This Row],[Quarter]]-1)/4+1/8</f>
        <v>2004.125</v>
      </c>
      <c r="D218" s="2">
        <f>_dat69[[#This Row],[DecDate]]^2</f>
        <v>4016517.015625</v>
      </c>
      <c r="E218">
        <v>1</v>
      </c>
      <c r="F218">
        <v>1461</v>
      </c>
      <c r="G218">
        <f>LN(_dat69[[#This Row],[Expenditure]])</f>
        <v>7.2868764117506997</v>
      </c>
      <c r="H218">
        <f>$P$40+_dat69[[#This Row],[DecDate]]*$P$41</f>
        <v>7.3091255670313249</v>
      </c>
      <c r="I218" s="2">
        <f>$P$17+$P$18*_dat69[[#This Row],[DecDate]]+$P$19*_dat69[[#This Row],[DecDate^2]]</f>
        <v>7.3135761242932347</v>
      </c>
      <c r="J218" s="2">
        <f>_dat69[[#This Row],[LOG(Expenditure 69)]]-_dat69[[#This Row],[Quadratic Trend LOG]]</f>
        <v>-2.6699712542535003E-2</v>
      </c>
      <c r="K218" s="2">
        <f t="shared" si="3"/>
        <v>-2.3350866890043419E-2</v>
      </c>
    </row>
    <row r="219" spans="1:11" x14ac:dyDescent="0.35">
      <c r="A219">
        <v>2004</v>
      </c>
      <c r="B219" s="1">
        <f>DATE(_dat69[[#This Row],[Year]],_dat69[[#This Row],[Quarter]]*3-1,15)</f>
        <v>38122</v>
      </c>
      <c r="C219" s="2">
        <f>_dat69[[#This Row],[Year]]+(_dat69[[#This Row],[Quarter]]-1)/4+1/8</f>
        <v>2004.375</v>
      </c>
      <c r="D219" s="2">
        <f>_dat69[[#This Row],[DecDate]]^2</f>
        <v>4017519.140625</v>
      </c>
      <c r="E219">
        <v>2</v>
      </c>
      <c r="F219">
        <v>1448</v>
      </c>
      <c r="G219">
        <f>LN(_dat69[[#This Row],[Expenditure]])</f>
        <v>7.2779385729456614</v>
      </c>
      <c r="H219">
        <f>$P$40+_dat69[[#This Row],[DecDate]]*$P$41</f>
        <v>7.310553307159033</v>
      </c>
      <c r="I219" s="2">
        <f>$P$17+$P$18*_dat69[[#This Row],[DecDate]]+$P$19*_dat69[[#This Row],[DecDate^2]]</f>
        <v>7.3144337674189899</v>
      </c>
      <c r="J219" s="2">
        <f>_dat69[[#This Row],[LOG(Expenditure 69)]]-_dat69[[#This Row],[Quadratic Trend LOG]]</f>
        <v>-3.6495194473328496E-2</v>
      </c>
      <c r="K219" s="2">
        <f t="shared" si="3"/>
        <v>-3.0288005452672805E-2</v>
      </c>
    </row>
    <row r="220" spans="1:11" x14ac:dyDescent="0.35">
      <c r="A220">
        <v>2004</v>
      </c>
      <c r="B220" s="1">
        <f>DATE(_dat69[[#This Row],[Year]],_dat69[[#This Row],[Quarter]]*3-1,15)</f>
        <v>38214</v>
      </c>
      <c r="C220" s="2">
        <f>_dat69[[#This Row],[Year]]+(_dat69[[#This Row],[Quarter]]-1)/4+1/8</f>
        <v>2004.625</v>
      </c>
      <c r="D220" s="2">
        <f>_dat69[[#This Row],[DecDate]]^2</f>
        <v>4018521.390625</v>
      </c>
      <c r="E220">
        <v>3</v>
      </c>
      <c r="F220">
        <v>1526</v>
      </c>
      <c r="G220">
        <f>LN(_dat69[[#This Row],[Expenditure]])</f>
        <v>7.3304052118444023</v>
      </c>
      <c r="H220">
        <f>$P$40+_dat69[[#This Row],[DecDate]]*$P$41</f>
        <v>7.3119810472867393</v>
      </c>
      <c r="I220" s="2">
        <f>$P$17+$P$18*_dat69[[#This Row],[DecDate]]+$P$19*_dat69[[#This Row],[DecDate^2]]</f>
        <v>7.3152838092514116</v>
      </c>
      <c r="J220" s="2">
        <f>_dat69[[#This Row],[LOG(Expenditure 69)]]-_dat69[[#This Row],[Quadratic Trend LOG]]</f>
        <v>1.5121402592990663E-2</v>
      </c>
      <c r="K220" s="2">
        <f t="shared" si="3"/>
        <v>-2.1073030507557357E-2</v>
      </c>
    </row>
    <row r="221" spans="1:11" x14ac:dyDescent="0.35">
      <c r="A221">
        <v>2004</v>
      </c>
      <c r="B221" s="1">
        <f>DATE(_dat69[[#This Row],[Year]],_dat69[[#This Row],[Quarter]]*3-1,15)</f>
        <v>38306</v>
      </c>
      <c r="C221" s="2">
        <f>_dat69[[#This Row],[Year]]+(_dat69[[#This Row],[Quarter]]-1)/4+1/8</f>
        <v>2004.875</v>
      </c>
      <c r="D221" s="2">
        <f>_dat69[[#This Row],[DecDate]]^2</f>
        <v>4019523.765625</v>
      </c>
      <c r="E221">
        <v>4</v>
      </c>
      <c r="F221">
        <v>1458</v>
      </c>
      <c r="G221">
        <f>LN(_dat69[[#This Row],[Expenditure]])</f>
        <v>7.2848209125686036</v>
      </c>
      <c r="H221">
        <f>$P$40+_dat69[[#This Row],[DecDate]]*$P$41</f>
        <v>7.3134087874144473</v>
      </c>
      <c r="I221" s="2">
        <f>$P$17+$P$18*_dat69[[#This Row],[DecDate]]+$P$19*_dat69[[#This Row],[DecDate^2]]</f>
        <v>7.3161262497904147</v>
      </c>
      <c r="J221" s="2">
        <f>_dat69[[#This Row],[LOG(Expenditure 69)]]-_dat69[[#This Row],[Quadratic Trend LOG]]</f>
        <v>-3.1305337221811058E-2</v>
      </c>
      <c r="K221" s="2">
        <f t="shared" si="3"/>
        <v>-1.9331280045108024E-2</v>
      </c>
    </row>
    <row r="222" spans="1:11" x14ac:dyDescent="0.35">
      <c r="A222">
        <v>2005</v>
      </c>
      <c r="B222" s="1">
        <f>DATE(_dat69[[#This Row],[Year]],_dat69[[#This Row],[Quarter]]*3-1,15)</f>
        <v>38398</v>
      </c>
      <c r="C222" s="2">
        <f>_dat69[[#This Row],[Year]]+(_dat69[[#This Row],[Quarter]]-1)/4+1/8</f>
        <v>2005.125</v>
      </c>
      <c r="D222" s="2">
        <f>_dat69[[#This Row],[DecDate]]^2</f>
        <v>4020526.265625</v>
      </c>
      <c r="E222">
        <v>1</v>
      </c>
      <c r="F222">
        <v>1467</v>
      </c>
      <c r="G222">
        <f>LN(_dat69[[#This Row],[Expenditure]])</f>
        <v>7.2909747781429814</v>
      </c>
      <c r="H222">
        <f>$P$40+_dat69[[#This Row],[DecDate]]*$P$41</f>
        <v>7.3148365275421554</v>
      </c>
      <c r="I222" s="2">
        <f>$P$17+$P$18*_dat69[[#This Row],[DecDate]]+$P$19*_dat69[[#This Row],[DecDate^2]]</f>
        <v>7.3169610890360843</v>
      </c>
      <c r="J222" s="2">
        <f>_dat69[[#This Row],[LOG(Expenditure 69)]]-_dat69[[#This Row],[Quadratic Trend LOG]]</f>
        <v>-2.5986310893102882E-2</v>
      </c>
      <c r="K222" s="2">
        <f t="shared" si="3"/>
        <v>-1.0329175428057091E-2</v>
      </c>
    </row>
    <row r="223" spans="1:11" x14ac:dyDescent="0.35">
      <c r="A223">
        <v>2005</v>
      </c>
      <c r="B223" s="1">
        <f>DATE(_dat69[[#This Row],[Year]],_dat69[[#This Row],[Quarter]]*3-1,15)</f>
        <v>38487</v>
      </c>
      <c r="C223" s="2">
        <f>_dat69[[#This Row],[Year]]+(_dat69[[#This Row],[Quarter]]-1)/4+1/8</f>
        <v>2005.375</v>
      </c>
      <c r="D223" s="2">
        <f>_dat69[[#This Row],[DecDate]]^2</f>
        <v>4021528.890625</v>
      </c>
      <c r="E223">
        <v>2</v>
      </c>
      <c r="F223">
        <v>1480</v>
      </c>
      <c r="G223">
        <f>LN(_dat69[[#This Row],[Expenditure]])</f>
        <v>7.2997973667581606</v>
      </c>
      <c r="H223">
        <f>$P$40+_dat69[[#This Row],[DecDate]]*$P$41</f>
        <v>7.3162642676698635</v>
      </c>
      <c r="I223" s="2">
        <f>$P$17+$P$18*_dat69[[#This Row],[DecDate]]+$P$19*_dat69[[#This Row],[DecDate^2]]</f>
        <v>7.3177883269884489</v>
      </c>
      <c r="J223" s="2">
        <f>_dat69[[#This Row],[LOG(Expenditure 69)]]-_dat69[[#This Row],[Quadratic Trend LOG]]</f>
        <v>-1.7990960230288344E-2</v>
      </c>
      <c r="K223" s="2">
        <f t="shared" si="3"/>
        <v>-1.8090441199388962E-2</v>
      </c>
    </row>
    <row r="224" spans="1:11" x14ac:dyDescent="0.35">
      <c r="A224">
        <v>2005</v>
      </c>
      <c r="B224" s="1">
        <f>DATE(_dat69[[#This Row],[Year]],_dat69[[#This Row],[Quarter]]*3-1,15)</f>
        <v>38579</v>
      </c>
      <c r="C224" s="2">
        <f>_dat69[[#This Row],[Year]]+(_dat69[[#This Row],[Quarter]]-1)/4+1/8</f>
        <v>2005.625</v>
      </c>
      <c r="D224" s="2">
        <f>_dat69[[#This Row],[DecDate]]^2</f>
        <v>4022531.640625</v>
      </c>
      <c r="E224">
        <v>3</v>
      </c>
      <c r="F224">
        <v>1521</v>
      </c>
      <c r="G224">
        <f>LN(_dat69[[#This Row],[Expenditure]])</f>
        <v>7.3271232922592926</v>
      </c>
      <c r="H224">
        <f>$P$40+_dat69[[#This Row],[DecDate]]*$P$41</f>
        <v>7.3176920077975716</v>
      </c>
      <c r="I224" s="2">
        <f>$P$17+$P$18*_dat69[[#This Row],[DecDate]]+$P$19*_dat69[[#This Row],[DecDate^2]]</f>
        <v>7.3186079636473664</v>
      </c>
      <c r="J224" s="2">
        <f>_dat69[[#This Row],[LOG(Expenditure 69)]]-_dat69[[#This Row],[Quadratic Trend LOG]]</f>
        <v>8.5153286119261651E-3</v>
      </c>
      <c r="K224" s="2">
        <f t="shared" si="3"/>
        <v>-1.1636549024177078E-2</v>
      </c>
    </row>
    <row r="225" spans="1:11" x14ac:dyDescent="0.35">
      <c r="A225">
        <v>2005</v>
      </c>
      <c r="B225" s="1">
        <f>DATE(_dat69[[#This Row],[Year]],_dat69[[#This Row],[Quarter]]*3-1,15)</f>
        <v>38671</v>
      </c>
      <c r="C225" s="2">
        <f>_dat69[[#This Row],[Year]]+(_dat69[[#This Row],[Quarter]]-1)/4+1/8</f>
        <v>2005.875</v>
      </c>
      <c r="D225" s="2">
        <f>_dat69[[#This Row],[DecDate]]^2</f>
        <v>4023534.515625</v>
      </c>
      <c r="E225">
        <v>4</v>
      </c>
      <c r="F225">
        <v>1474</v>
      </c>
      <c r="G225">
        <f>LN(_dat69[[#This Row],[Expenditure]])</f>
        <v>7.2957350727492818</v>
      </c>
      <c r="H225">
        <f>$P$40+_dat69[[#This Row],[DecDate]]*$P$41</f>
        <v>7.3191197479252796</v>
      </c>
      <c r="I225" s="2">
        <f>$P$17+$P$18*_dat69[[#This Row],[DecDate]]+$P$19*_dat69[[#This Row],[DecDate^2]]</f>
        <v>7.3194199990129505</v>
      </c>
      <c r="J225" s="2">
        <f>_dat69[[#This Row],[LOG(Expenditure 69)]]-_dat69[[#This Row],[Quadratic Trend LOG]]</f>
        <v>-2.3684926263668693E-2</v>
      </c>
      <c r="K225" s="2">
        <f t="shared" si="3"/>
        <v>-1.1768080160610239E-2</v>
      </c>
    </row>
    <row r="226" spans="1:11" x14ac:dyDescent="0.35">
      <c r="A226">
        <v>2006</v>
      </c>
      <c r="B226" s="1">
        <f>DATE(_dat69[[#This Row],[Year]],_dat69[[#This Row],[Quarter]]*3-1,15)</f>
        <v>38763</v>
      </c>
      <c r="C226" s="2">
        <f>_dat69[[#This Row],[Year]]+(_dat69[[#This Row],[Quarter]]-1)/4+1/8</f>
        <v>2006.125</v>
      </c>
      <c r="D226" s="2">
        <f>_dat69[[#This Row],[DecDate]]^2</f>
        <v>4024537.515625</v>
      </c>
      <c r="E226">
        <v>1</v>
      </c>
      <c r="F226">
        <v>1512</v>
      </c>
      <c r="G226">
        <f>LN(_dat69[[#This Row],[Expenditure]])</f>
        <v>7.3211885567394779</v>
      </c>
      <c r="H226">
        <f>$P$40+_dat69[[#This Row],[DecDate]]*$P$41</f>
        <v>7.3205474880529859</v>
      </c>
      <c r="I226" s="2">
        <f>$P$17+$P$18*_dat69[[#This Row],[DecDate]]+$P$19*_dat69[[#This Row],[DecDate^2]]</f>
        <v>7.3202244330852295</v>
      </c>
      <c r="J226" s="2">
        <f>_dat69[[#This Row],[LOG(Expenditure 69)]]-_dat69[[#This Row],[Quadratic Trend LOG]]</f>
        <v>9.6412365424836111E-4</v>
      </c>
      <c r="K226" s="2">
        <f t="shared" si="3"/>
        <v>-5.5356118101073546E-3</v>
      </c>
    </row>
    <row r="227" spans="1:11" x14ac:dyDescent="0.35">
      <c r="A227">
        <v>2006</v>
      </c>
      <c r="B227" s="1">
        <f>DATE(_dat69[[#This Row],[Year]],_dat69[[#This Row],[Quarter]]*3-1,15)</f>
        <v>38852</v>
      </c>
      <c r="C227" s="2">
        <f>_dat69[[#This Row],[Year]]+(_dat69[[#This Row],[Quarter]]-1)/4+1/8</f>
        <v>2006.375</v>
      </c>
      <c r="D227" s="2">
        <f>_dat69[[#This Row],[DecDate]]^2</f>
        <v>4025540.640625</v>
      </c>
      <c r="E227">
        <v>2</v>
      </c>
      <c r="F227">
        <v>1472</v>
      </c>
      <c r="G227">
        <f>LN(_dat69[[#This Row],[Expenditure]])</f>
        <v>7.2943772992888212</v>
      </c>
      <c r="H227">
        <f>$P$40+_dat69[[#This Row],[DecDate]]*$P$41</f>
        <v>7.321975228180694</v>
      </c>
      <c r="I227" s="2">
        <f>$P$17+$P$18*_dat69[[#This Row],[DecDate]]+$P$19*_dat69[[#This Row],[DecDate^2]]</f>
        <v>7.3210212658640899</v>
      </c>
      <c r="J227" s="2">
        <f>_dat69[[#This Row],[LOG(Expenditure 69)]]-_dat69[[#This Row],[Quadratic Trend LOG]]</f>
        <v>-2.6643966575268685E-2</v>
      </c>
      <c r="K227" s="2">
        <f t="shared" si="3"/>
        <v>-1.5755452464011378E-2</v>
      </c>
    </row>
    <row r="228" spans="1:11" x14ac:dyDescent="0.35">
      <c r="A228">
        <v>2006</v>
      </c>
      <c r="B228" s="1">
        <f>DATE(_dat69[[#This Row],[Year]],_dat69[[#This Row],[Quarter]]*3-1,15)</f>
        <v>38944</v>
      </c>
      <c r="C228" s="2">
        <f>_dat69[[#This Row],[Year]]+(_dat69[[#This Row],[Quarter]]-1)/4+1/8</f>
        <v>2006.625</v>
      </c>
      <c r="D228" s="2">
        <f>_dat69[[#This Row],[DecDate]]^2</f>
        <v>4026543.890625</v>
      </c>
      <c r="E228">
        <v>3</v>
      </c>
      <c r="F228">
        <v>1533</v>
      </c>
      <c r="G228">
        <f>LN(_dat69[[#This Row],[Expenditure]])</f>
        <v>7.3349818788718144</v>
      </c>
      <c r="H228">
        <f>$P$40+_dat69[[#This Row],[DecDate]]*$P$41</f>
        <v>7.3234029683084021</v>
      </c>
      <c r="I228" s="2">
        <f>$P$17+$P$18*_dat69[[#This Row],[DecDate]]+$P$19*_dat69[[#This Row],[DecDate^2]]</f>
        <v>7.3218104973495883</v>
      </c>
      <c r="J228" s="2">
        <f>_dat69[[#This Row],[LOG(Expenditure 69)]]-_dat69[[#This Row],[Quadratic Trend LOG]]</f>
        <v>1.3171381522226078E-2</v>
      </c>
      <c r="K228" s="2">
        <f t="shared" si="3"/>
        <v>-6.2317583507617517E-3</v>
      </c>
    </row>
    <row r="229" spans="1:11" x14ac:dyDescent="0.35">
      <c r="A229">
        <v>2006</v>
      </c>
      <c r="B229" s="1">
        <f>DATE(_dat69[[#This Row],[Year]],_dat69[[#This Row],[Quarter]]*3-1,15)</f>
        <v>39036</v>
      </c>
      <c r="C229" s="2">
        <f>_dat69[[#This Row],[Year]]+(_dat69[[#This Row],[Quarter]]-1)/4+1/8</f>
        <v>2006.875</v>
      </c>
      <c r="D229" s="2">
        <f>_dat69[[#This Row],[DecDate]]^2</f>
        <v>4027547.265625</v>
      </c>
      <c r="E229">
        <v>4</v>
      </c>
      <c r="F229">
        <v>1451</v>
      </c>
      <c r="G229">
        <f>LN(_dat69[[#This Row],[Expenditure]])</f>
        <v>7.2800082528841878</v>
      </c>
      <c r="H229">
        <f>$P$40+_dat69[[#This Row],[DecDate]]*$P$41</f>
        <v>7.3248307084361102</v>
      </c>
      <c r="I229" s="2">
        <f>$P$17+$P$18*_dat69[[#This Row],[DecDate]]+$P$19*_dat69[[#This Row],[DecDate^2]]</f>
        <v>7.3225921275417818</v>
      </c>
      <c r="J229" s="2">
        <f>_dat69[[#This Row],[LOG(Expenditure 69)]]-_dat69[[#This Row],[Quadratic Trend LOG]]</f>
        <v>-4.2583874657593945E-2</v>
      </c>
      <c r="K229" s="2">
        <f t="shared" si="3"/>
        <v>-3.7335511830917769E-3</v>
      </c>
    </row>
    <row r="230" spans="1:11" x14ac:dyDescent="0.35">
      <c r="A230">
        <v>2007</v>
      </c>
      <c r="B230" s="1">
        <f>DATE(_dat69[[#This Row],[Year]],_dat69[[#This Row],[Quarter]]*3-1,15)</f>
        <v>39128</v>
      </c>
      <c r="C230" s="2">
        <f>_dat69[[#This Row],[Year]]+(_dat69[[#This Row],[Quarter]]-1)/4+1/8</f>
        <v>2007.125</v>
      </c>
      <c r="D230" s="2">
        <f>_dat69[[#This Row],[DecDate]]^2</f>
        <v>4028550.765625</v>
      </c>
      <c r="E230">
        <v>1</v>
      </c>
      <c r="F230">
        <v>1552</v>
      </c>
      <c r="G230">
        <f>LN(_dat69[[#This Row],[Expenditure]])</f>
        <v>7.3472997007431644</v>
      </c>
      <c r="H230">
        <f>$P$40+_dat69[[#This Row],[DecDate]]*$P$41</f>
        <v>7.3262584485638182</v>
      </c>
      <c r="I230" s="2">
        <f>$P$17+$P$18*_dat69[[#This Row],[DecDate]]+$P$19*_dat69[[#This Row],[DecDate^2]]</f>
        <v>7.323366156440585</v>
      </c>
      <c r="J230" s="2">
        <f>_dat69[[#This Row],[LOG(Expenditure 69)]]-_dat69[[#This Row],[Quadratic Trend LOG]]</f>
        <v>2.3933544302579435E-2</v>
      </c>
      <c r="K230" s="2">
        <f t="shared" si="3"/>
        <v>-2.0633903769642358E-4</v>
      </c>
    </row>
    <row r="231" spans="1:11" x14ac:dyDescent="0.35">
      <c r="A231">
        <v>2007</v>
      </c>
      <c r="B231" s="1">
        <f>DATE(_dat69[[#This Row],[Year]],_dat69[[#This Row],[Quarter]]*3-1,15)</f>
        <v>39217</v>
      </c>
      <c r="C231" s="2">
        <f>_dat69[[#This Row],[Year]]+(_dat69[[#This Row],[Quarter]]-1)/4+1/8</f>
        <v>2007.375</v>
      </c>
      <c r="D231" s="2">
        <f>_dat69[[#This Row],[DecDate]]^2</f>
        <v>4029554.390625</v>
      </c>
      <c r="E231">
        <v>2</v>
      </c>
      <c r="F231">
        <v>1537</v>
      </c>
      <c r="G231">
        <f>LN(_dat69[[#This Row],[Expenditure]])</f>
        <v>7.3375877435385961</v>
      </c>
      <c r="H231">
        <f>$P$40+_dat69[[#This Row],[DecDate]]*$P$41</f>
        <v>7.3276861886915263</v>
      </c>
      <c r="I231" s="2">
        <f>$P$17+$P$18*_dat69[[#This Row],[DecDate]]+$P$19*_dat69[[#This Row],[DecDate^2]]</f>
        <v>7.3241325840459979</v>
      </c>
      <c r="J231" s="2">
        <f>_dat69[[#This Row],[LOG(Expenditure 69)]]-_dat69[[#This Row],[Quadratic Trend LOG]]</f>
        <v>1.3455159492598234E-2</v>
      </c>
      <c r="K231" s="2">
        <f t="shared" si="3"/>
        <v>-6.2605829096682442E-3</v>
      </c>
    </row>
    <row r="232" spans="1:11" x14ac:dyDescent="0.35">
      <c r="A232">
        <v>2007</v>
      </c>
      <c r="B232" s="1">
        <f>DATE(_dat69[[#This Row],[Year]],_dat69[[#This Row],[Quarter]]*3-1,15)</f>
        <v>39309</v>
      </c>
      <c r="C232" s="2">
        <f>_dat69[[#This Row],[Year]]+(_dat69[[#This Row],[Quarter]]-1)/4+1/8</f>
        <v>2007.625</v>
      </c>
      <c r="D232" s="2">
        <f>_dat69[[#This Row],[DecDate]]^2</f>
        <v>4030558.140625</v>
      </c>
      <c r="E232">
        <v>3</v>
      </c>
      <c r="F232">
        <v>1504</v>
      </c>
      <c r="G232">
        <f>LN(_dat69[[#This Row],[Expenditure]])</f>
        <v>7.3158835045097854</v>
      </c>
      <c r="H232">
        <f>$P$40+_dat69[[#This Row],[DecDate]]*$P$41</f>
        <v>7.3291139288192326</v>
      </c>
      <c r="I232" s="2">
        <f>$P$17+$P$18*_dat69[[#This Row],[DecDate]]+$P$19*_dat69[[#This Row],[DecDate^2]]</f>
        <v>7.3248914103580773</v>
      </c>
      <c r="J232" s="2">
        <f>_dat69[[#This Row],[LOG(Expenditure 69)]]-_dat69[[#This Row],[Quadratic Trend LOG]]</f>
        <v>-9.0079058482919194E-3</v>
      </c>
      <c r="K232" s="2">
        <f t="shared" si="3"/>
        <v>6.9536811490820581E-3</v>
      </c>
    </row>
    <row r="233" spans="1:11" x14ac:dyDescent="0.35">
      <c r="A233">
        <v>2007</v>
      </c>
      <c r="B233" s="1">
        <f>DATE(_dat69[[#This Row],[Year]],_dat69[[#This Row],[Quarter]]*3-1,15)</f>
        <v>39401</v>
      </c>
      <c r="C233" s="2">
        <f>_dat69[[#This Row],[Year]]+(_dat69[[#This Row],[Quarter]]-1)/4+1/8</f>
        <v>2007.875</v>
      </c>
      <c r="D233" s="2">
        <f>_dat69[[#This Row],[DecDate]]^2</f>
        <v>4031562.015625</v>
      </c>
      <c r="E233">
        <v>4</v>
      </c>
      <c r="F233">
        <v>1493</v>
      </c>
      <c r="G233">
        <f>LN(_dat69[[#This Row],[Expenditure]])</f>
        <v>7.3085427975391903</v>
      </c>
      <c r="H233">
        <f>$P$40+_dat69[[#This Row],[DecDate]]*$P$41</f>
        <v>7.3305416689469407</v>
      </c>
      <c r="I233" s="2">
        <f>$P$17+$P$18*_dat69[[#This Row],[DecDate]]+$P$19*_dat69[[#This Row],[DecDate^2]]</f>
        <v>7.3256426353768234</v>
      </c>
      <c r="J233" s="2">
        <f>_dat69[[#This Row],[LOG(Expenditure 69)]]-_dat69[[#This Row],[Quadratic Trend LOG]]</f>
        <v>-1.7099837837633025E-2</v>
      </c>
      <c r="K233" s="2">
        <f t="shared" si="3"/>
        <v>3.8693123671775355E-3</v>
      </c>
    </row>
    <row r="234" spans="1:11" x14ac:dyDescent="0.35">
      <c r="A234">
        <v>2008</v>
      </c>
      <c r="B234" s="1">
        <f>DATE(_dat69[[#This Row],[Year]],_dat69[[#This Row],[Quarter]]*3-1,15)</f>
        <v>39493</v>
      </c>
      <c r="C234" s="2">
        <f>_dat69[[#This Row],[Year]]+(_dat69[[#This Row],[Quarter]]-1)/4+1/8</f>
        <v>2008.125</v>
      </c>
      <c r="D234" s="2">
        <f>_dat69[[#This Row],[DecDate]]^2</f>
        <v>4032566.015625</v>
      </c>
      <c r="E234">
        <v>1</v>
      </c>
      <c r="F234">
        <v>1556</v>
      </c>
      <c r="G234">
        <f>LN(_dat69[[#This Row],[Expenditure]])</f>
        <v>7.3498737047383367</v>
      </c>
      <c r="H234">
        <f>$P$40+_dat69[[#This Row],[DecDate]]*$P$41</f>
        <v>7.3319694090746488</v>
      </c>
      <c r="I234" s="2">
        <f>$P$17+$P$18*_dat69[[#This Row],[DecDate]]+$P$19*_dat69[[#This Row],[DecDate^2]]</f>
        <v>7.3263862591021791</v>
      </c>
      <c r="J234" s="2">
        <f>_dat69[[#This Row],[LOG(Expenditure 69)]]-_dat69[[#This Row],[Quadratic Trend LOG]]</f>
        <v>2.3487445636157567E-2</v>
      </c>
      <c r="K234" s="2">
        <f t="shared" si="3"/>
        <v>-1.3481821153138896E-3</v>
      </c>
    </row>
    <row r="235" spans="1:11" x14ac:dyDescent="0.35">
      <c r="A235">
        <v>2008</v>
      </c>
      <c r="B235" s="1">
        <f>DATE(_dat69[[#This Row],[Year]],_dat69[[#This Row],[Quarter]]*3-1,15)</f>
        <v>39583</v>
      </c>
      <c r="C235" s="2">
        <f>_dat69[[#This Row],[Year]]+(_dat69[[#This Row],[Quarter]]-1)/4+1/8</f>
        <v>2008.375</v>
      </c>
      <c r="D235" s="2">
        <f>_dat69[[#This Row],[DecDate]]^2</f>
        <v>4033570.140625</v>
      </c>
      <c r="E235">
        <v>2</v>
      </c>
      <c r="F235">
        <v>1534</v>
      </c>
      <c r="G235">
        <f>LN(_dat69[[#This Row],[Expenditure]])</f>
        <v>7.3356339819272014</v>
      </c>
      <c r="H235">
        <f>$P$40+_dat69[[#This Row],[DecDate]]*$P$41</f>
        <v>7.3333971492023569</v>
      </c>
      <c r="I235" s="2">
        <f>$P$17+$P$18*_dat69[[#This Row],[DecDate]]+$P$19*_dat69[[#This Row],[DecDate^2]]</f>
        <v>7.3271222815341446</v>
      </c>
      <c r="J235" s="2">
        <f>_dat69[[#This Row],[LOG(Expenditure 69)]]-_dat69[[#This Row],[Quadratic Trend LOG]]</f>
        <v>8.5117003930568202E-3</v>
      </c>
      <c r="K235" s="2">
        <f t="shared" si="3"/>
        <v>-1.1895435945158007E-2</v>
      </c>
    </row>
    <row r="236" spans="1:11" x14ac:dyDescent="0.35">
      <c r="A236">
        <v>2008</v>
      </c>
      <c r="B236" s="1">
        <f>DATE(_dat69[[#This Row],[Year]],_dat69[[#This Row],[Quarter]]*3-1,15)</f>
        <v>39675</v>
      </c>
      <c r="C236" s="2">
        <f>_dat69[[#This Row],[Year]]+(_dat69[[#This Row],[Quarter]]-1)/4+1/8</f>
        <v>2008.625</v>
      </c>
      <c r="D236" s="2">
        <f>_dat69[[#This Row],[DecDate]]^2</f>
        <v>4034574.390625</v>
      </c>
      <c r="E236">
        <v>3</v>
      </c>
      <c r="F236">
        <v>1503</v>
      </c>
      <c r="G236">
        <f>LN(_dat69[[#This Row],[Expenditure]])</f>
        <v>7.3152183897529746</v>
      </c>
      <c r="H236">
        <f>$P$40+_dat69[[#This Row],[DecDate]]*$P$41</f>
        <v>7.3348248893300649</v>
      </c>
      <c r="I236" s="2">
        <f>$P$17+$P$18*_dat69[[#This Row],[DecDate]]+$P$19*_dat69[[#This Row],[DecDate^2]]</f>
        <v>7.3278507026728334</v>
      </c>
      <c r="J236" s="2">
        <f>_dat69[[#This Row],[LOG(Expenditure 69)]]-_dat69[[#This Row],[Quadratic Trend LOG]]</f>
        <v>-1.263231291985889E-2</v>
      </c>
      <c r="K236" s="2">
        <f t="shared" si="3"/>
        <v>-8.6449460126013736E-3</v>
      </c>
    </row>
    <row r="237" spans="1:11" x14ac:dyDescent="0.35">
      <c r="A237">
        <v>2008</v>
      </c>
      <c r="B237" s="1">
        <f>DATE(_dat69[[#This Row],[Year]],_dat69[[#This Row],[Quarter]]*3-1,15)</f>
        <v>39767</v>
      </c>
      <c r="C237" s="2">
        <f>_dat69[[#This Row],[Year]]+(_dat69[[#This Row],[Quarter]]-1)/4+1/8</f>
        <v>2008.875</v>
      </c>
      <c r="D237" s="2">
        <f>_dat69[[#This Row],[DecDate]]^2</f>
        <v>4035578.765625</v>
      </c>
      <c r="E237">
        <v>4</v>
      </c>
      <c r="F237">
        <v>1432</v>
      </c>
      <c r="G237">
        <f>LN(_dat69[[#This Row],[Expenditure]])</f>
        <v>7.2668273475205911</v>
      </c>
      <c r="H237">
        <f>$P$40+_dat69[[#This Row],[DecDate]]*$P$41</f>
        <v>7.336252629457773</v>
      </c>
      <c r="I237" s="2">
        <f>$P$17+$P$18*_dat69[[#This Row],[DecDate]]+$P$19*_dat69[[#This Row],[DecDate^2]]</f>
        <v>7.3285715225181036</v>
      </c>
      <c r="J237" s="2">
        <f>_dat69[[#This Row],[LOG(Expenditure 69)]]-_dat69[[#This Row],[Quadratic Trend LOG]]</f>
        <v>-6.1744174997512502E-2</v>
      </c>
      <c r="K237" s="2">
        <f t="shared" si="3"/>
        <v>-1.3653036226523519E-2</v>
      </c>
    </row>
    <row r="238" spans="1:11" x14ac:dyDescent="0.35">
      <c r="A238">
        <v>2009</v>
      </c>
      <c r="B238" s="1">
        <f>DATE(_dat69[[#This Row],[Year]],_dat69[[#This Row],[Quarter]]*3-1,15)</f>
        <v>39859</v>
      </c>
      <c r="C238" s="2">
        <f>_dat69[[#This Row],[Year]]+(_dat69[[#This Row],[Quarter]]-1)/4+1/8</f>
        <v>2009.125</v>
      </c>
      <c r="D238" s="2">
        <f>_dat69[[#This Row],[DecDate]]^2</f>
        <v>4036583.265625</v>
      </c>
      <c r="E238">
        <v>1</v>
      </c>
      <c r="F238">
        <v>1523</v>
      </c>
      <c r="G238">
        <f>LN(_dat69[[#This Row],[Expenditure]])</f>
        <v>7.3284373528951621</v>
      </c>
      <c r="H238">
        <f>$P$40+_dat69[[#This Row],[DecDate]]*$P$41</f>
        <v>7.3376803695854793</v>
      </c>
      <c r="I238" s="2">
        <f>$P$17+$P$18*_dat69[[#This Row],[DecDate]]+$P$19*_dat69[[#This Row],[DecDate^2]]</f>
        <v>7.3292847410700119</v>
      </c>
      <c r="J238" s="2">
        <f>_dat69[[#This Row],[LOG(Expenditure 69)]]-_dat69[[#This Row],[Quadratic Trend LOG]]</f>
        <v>-8.4738817484986129E-4</v>
      </c>
      <c r="K238" s="2">
        <f t="shared" si="3"/>
        <v>-1.410566842237131E-2</v>
      </c>
    </row>
    <row r="239" spans="1:11" x14ac:dyDescent="0.35">
      <c r="A239">
        <v>2009</v>
      </c>
      <c r="B239" s="1">
        <f>DATE(_dat69[[#This Row],[Year]],_dat69[[#This Row],[Quarter]]*3-1,15)</f>
        <v>39948</v>
      </c>
      <c r="C239" s="2">
        <f>_dat69[[#This Row],[Year]]+(_dat69[[#This Row],[Quarter]]-1)/4+1/8</f>
        <v>2009.375</v>
      </c>
      <c r="D239" s="2">
        <f>_dat69[[#This Row],[DecDate]]^2</f>
        <v>4037587.890625</v>
      </c>
      <c r="E239">
        <v>2</v>
      </c>
      <c r="F239">
        <v>1523</v>
      </c>
      <c r="G239">
        <f>LN(_dat69[[#This Row],[Expenditure]])</f>
        <v>7.3284373528951621</v>
      </c>
      <c r="H239">
        <f>$P$40+_dat69[[#This Row],[DecDate]]*$P$41</f>
        <v>7.3391081097131874</v>
      </c>
      <c r="I239" s="2">
        <f>$P$17+$P$18*_dat69[[#This Row],[DecDate]]+$P$19*_dat69[[#This Row],[DecDate^2]]</f>
        <v>7.3299903583286152</v>
      </c>
      <c r="J239" s="2">
        <f>_dat69[[#This Row],[LOG(Expenditure 69)]]-_dat69[[#This Row],[Quadratic Trend LOG]]</f>
        <v>-1.5530054334531584E-3</v>
      </c>
      <c r="K239" s="2">
        <f t="shared" si="3"/>
        <v>-1.2561840863459572E-2</v>
      </c>
    </row>
    <row r="240" spans="1:11" x14ac:dyDescent="0.35">
      <c r="A240">
        <v>2009</v>
      </c>
      <c r="B240" s="1">
        <f>DATE(_dat69[[#This Row],[Year]],_dat69[[#This Row],[Quarter]]*3-1,15)</f>
        <v>40040</v>
      </c>
      <c r="C240" s="2">
        <f>_dat69[[#This Row],[Year]]+(_dat69[[#This Row],[Quarter]]-1)/4+1/8</f>
        <v>2009.625</v>
      </c>
      <c r="D240" s="2">
        <f>_dat69[[#This Row],[DecDate]]^2</f>
        <v>4038592.640625</v>
      </c>
      <c r="E240">
        <v>3</v>
      </c>
      <c r="F240">
        <v>1536</v>
      </c>
      <c r="G240">
        <f>LN(_dat69[[#This Row],[Expenditure]])</f>
        <v>7.3369369137076177</v>
      </c>
      <c r="H240">
        <f>$P$40+_dat69[[#This Row],[DecDate]]*$P$41</f>
        <v>7.3405358498408955</v>
      </c>
      <c r="I240" s="2">
        <f>$P$17+$P$18*_dat69[[#This Row],[DecDate]]+$P$19*_dat69[[#This Row],[DecDate^2]]</f>
        <v>7.3306883742937998</v>
      </c>
      <c r="J240" s="2">
        <f>_dat69[[#This Row],[LOG(Expenditure 69)]]-_dat69[[#This Row],[Quadratic Trend LOG]]</f>
        <v>6.2485394138178663E-3</v>
      </c>
      <c r="K240" s="2">
        <f t="shared" si="3"/>
        <v>6.410698871411746E-3</v>
      </c>
    </row>
    <row r="241" spans="1:11" x14ac:dyDescent="0.35">
      <c r="A241">
        <v>2009</v>
      </c>
      <c r="B241" s="1">
        <f>DATE(_dat69[[#This Row],[Year]],_dat69[[#This Row],[Quarter]]*3-1,15)</f>
        <v>40132</v>
      </c>
      <c r="C241" s="2">
        <f>_dat69[[#This Row],[Year]]+(_dat69[[#This Row],[Quarter]]-1)/4+1/8</f>
        <v>2009.875</v>
      </c>
      <c r="D241" s="2">
        <f>_dat69[[#This Row],[DecDate]]^2</f>
        <v>4039597.515625</v>
      </c>
      <c r="E241">
        <v>4</v>
      </c>
      <c r="F241">
        <v>1520</v>
      </c>
      <c r="G241">
        <f>LN(_dat69[[#This Row],[Expenditure]])</f>
        <v>7.3264656138403224</v>
      </c>
      <c r="H241">
        <f>$P$40+_dat69[[#This Row],[DecDate]]*$P$41</f>
        <v>7.3419635899686035</v>
      </c>
      <c r="I241" s="2">
        <f>$P$17+$P$18*_dat69[[#This Row],[DecDate]]+$P$19*_dat69[[#This Row],[DecDate^2]]</f>
        <v>7.3313787889656226</v>
      </c>
      <c r="J241" s="2">
        <f>_dat69[[#This Row],[LOG(Expenditure 69)]]-_dat69[[#This Row],[Quadratic Trend LOG]]</f>
        <v>-4.9131751253002065E-3</v>
      </c>
      <c r="K241" s="2">
        <f t="shared" si="3"/>
        <v>2.1738926999453411E-2</v>
      </c>
    </row>
    <row r="242" spans="1:11" x14ac:dyDescent="0.35">
      <c r="A242">
        <v>2010</v>
      </c>
      <c r="B242" s="1">
        <f>DATE(_dat69[[#This Row],[Year]],_dat69[[#This Row],[Quarter]]*3-1,15)</f>
        <v>40224</v>
      </c>
      <c r="C242" s="2">
        <f>_dat69[[#This Row],[Year]]+(_dat69[[#This Row],[Quarter]]-1)/4+1/8</f>
        <v>2010.125</v>
      </c>
      <c r="D242" s="2">
        <f>_dat69[[#This Row],[DecDate]]^2</f>
        <v>4040602.515625</v>
      </c>
      <c r="E242">
        <v>1</v>
      </c>
      <c r="F242">
        <v>1580</v>
      </c>
      <c r="G242">
        <f>LN(_dat69[[#This Row],[Expenditure]])</f>
        <v>7.3651801260210128</v>
      </c>
      <c r="H242">
        <f>$P$40+_dat69[[#This Row],[DecDate]]*$P$41</f>
        <v>7.3433913300963116</v>
      </c>
      <c r="I242" s="2">
        <f>$P$17+$P$18*_dat69[[#This Row],[DecDate]]+$P$19*_dat69[[#This Row],[DecDate^2]]</f>
        <v>7.3320616023441687</v>
      </c>
      <c r="J242" s="2">
        <f>_dat69[[#This Row],[LOG(Expenditure 69)]]-_dat69[[#This Row],[Quadratic Trend LOG]]</f>
        <v>3.3118523676844092E-2</v>
      </c>
      <c r="K242" s="2">
        <f t="shared" si="3"/>
        <v>3.3281433777464467E-2</v>
      </c>
    </row>
    <row r="243" spans="1:11" x14ac:dyDescent="0.35">
      <c r="A243">
        <v>2010</v>
      </c>
      <c r="B243" s="1">
        <f>DATE(_dat69[[#This Row],[Year]],_dat69[[#This Row],[Quarter]]*3-1,15)</f>
        <v>40313</v>
      </c>
      <c r="C243" s="2">
        <f>_dat69[[#This Row],[Year]]+(_dat69[[#This Row],[Quarter]]-1)/4+1/8</f>
        <v>2010.375</v>
      </c>
      <c r="D243" s="2">
        <f>_dat69[[#This Row],[DecDate]]^2</f>
        <v>4041607.640625</v>
      </c>
      <c r="E243">
        <v>2</v>
      </c>
      <c r="F243">
        <v>1650</v>
      </c>
      <c r="G243">
        <f>LN(_dat69[[#This Row],[Expenditure]])</f>
        <v>7.4085305668946262</v>
      </c>
      <c r="H243">
        <f>$P$40+_dat69[[#This Row],[DecDate]]*$P$41</f>
        <v>7.3448190702240179</v>
      </c>
      <c r="I243" s="2">
        <f>$P$17+$P$18*_dat69[[#This Row],[DecDate]]+$P$19*_dat69[[#This Row],[DecDate^2]]</f>
        <v>7.3327368144292677</v>
      </c>
      <c r="J243" s="2">
        <f>_dat69[[#This Row],[LOG(Expenditure 69)]]-_dat69[[#This Row],[Quadratic Trend LOG]]</f>
        <v>7.5793752465358466E-2</v>
      </c>
      <c r="K243" s="2">
        <f t="shared" si="3"/>
        <v>3.4936345136326354E-2</v>
      </c>
    </row>
    <row r="244" spans="1:11" x14ac:dyDescent="0.35">
      <c r="A244">
        <v>2010</v>
      </c>
      <c r="B244" s="1">
        <f>DATE(_dat69[[#This Row],[Year]],_dat69[[#This Row],[Quarter]]*3-1,15)</f>
        <v>40405</v>
      </c>
      <c r="C244" s="2">
        <f>_dat69[[#This Row],[Year]]+(_dat69[[#This Row],[Quarter]]-1)/4+1/8</f>
        <v>2010.625</v>
      </c>
      <c r="D244" s="2">
        <f>_dat69[[#This Row],[DecDate]]^2</f>
        <v>4042612.890625</v>
      </c>
      <c r="E244">
        <v>3</v>
      </c>
      <c r="F244">
        <v>1619</v>
      </c>
      <c r="G244">
        <f>LN(_dat69[[#This Row],[Expenditure]])</f>
        <v>7.3895639536776354</v>
      </c>
      <c r="H244">
        <f>$P$40+_dat69[[#This Row],[DecDate]]*$P$41</f>
        <v>7.346246810351726</v>
      </c>
      <c r="I244" s="2">
        <f>$P$17+$P$18*_dat69[[#This Row],[DecDate]]+$P$19*_dat69[[#This Row],[DecDate^2]]</f>
        <v>7.3334044252210333</v>
      </c>
      <c r="J244" s="2">
        <f>_dat69[[#This Row],[LOG(Expenditure 69)]]-_dat69[[#This Row],[Quadratic Trend LOG]]</f>
        <v>5.6159528456602104E-2</v>
      </c>
      <c r="K244" s="2">
        <f t="shared" si="3"/>
        <v>4.7874233020292499E-2</v>
      </c>
    </row>
    <row r="245" spans="1:11" x14ac:dyDescent="0.35">
      <c r="A245">
        <v>2010</v>
      </c>
      <c r="B245" s="1">
        <f>DATE(_dat69[[#This Row],[Year]],_dat69[[#This Row],[Quarter]]*3-1,15)</f>
        <v>40497</v>
      </c>
      <c r="C245" s="2">
        <f>_dat69[[#This Row],[Year]]+(_dat69[[#This Row],[Quarter]]-1)/4+1/8</f>
        <v>2010.875</v>
      </c>
      <c r="D245" s="2">
        <f>_dat69[[#This Row],[DecDate]]^2</f>
        <v>4043618.265625</v>
      </c>
      <c r="E245">
        <v>4</v>
      </c>
      <c r="F245">
        <v>1554</v>
      </c>
      <c r="G245">
        <f>LN(_dat69[[#This Row],[Expenditure]])</f>
        <v>7.3485875309275928</v>
      </c>
      <c r="H245">
        <f>$P$40+_dat69[[#This Row],[DecDate]]*$P$41</f>
        <v>7.3476745504794341</v>
      </c>
      <c r="I245" s="2">
        <f>$P$17+$P$18*_dat69[[#This Row],[DecDate]]+$P$19*_dat69[[#This Row],[DecDate^2]]</f>
        <v>7.3340644347194655</v>
      </c>
      <c r="J245" s="2">
        <f>_dat69[[#This Row],[LOG(Expenditure 69)]]-_dat69[[#This Row],[Quadratic Trend LOG]]</f>
        <v>1.4523096208127306E-2</v>
      </c>
      <c r="K245" s="2">
        <f t="shared" si="3"/>
        <v>5.1224382931000886E-2</v>
      </c>
    </row>
    <row r="246" spans="1:11" x14ac:dyDescent="0.35">
      <c r="A246">
        <v>2011</v>
      </c>
      <c r="B246" s="1">
        <f>DATE(_dat69[[#This Row],[Year]],_dat69[[#This Row],[Quarter]]*3-1,15)</f>
        <v>40589</v>
      </c>
      <c r="C246" s="2">
        <f>_dat69[[#This Row],[Year]]+(_dat69[[#This Row],[Quarter]]-1)/4+1/8</f>
        <v>2011.125</v>
      </c>
      <c r="D246" s="2">
        <f>_dat69[[#This Row],[DecDate]]^2</f>
        <v>4044623.765625</v>
      </c>
      <c r="E246">
        <v>1</v>
      </c>
      <c r="F246">
        <v>1627</v>
      </c>
      <c r="G246">
        <f>LN(_dat69[[#This Row],[Expenditure]])</f>
        <v>7.3944931072190379</v>
      </c>
      <c r="H246">
        <f>$P$40+_dat69[[#This Row],[DecDate]]*$P$41</f>
        <v>7.3491022906071422</v>
      </c>
      <c r="I246" s="2">
        <f>$P$17+$P$18*_dat69[[#This Row],[DecDate]]+$P$19*_dat69[[#This Row],[DecDate^2]]</f>
        <v>7.3347168429245073</v>
      </c>
      <c r="J246" s="2">
        <f>_dat69[[#This Row],[LOG(Expenditure 69)]]-_dat69[[#This Row],[Quadratic Trend LOG]]</f>
        <v>5.9776264294530534E-2</v>
      </c>
      <c r="K246" s="2">
        <f t="shared" si="3"/>
        <v>3.7292207463961093E-2</v>
      </c>
    </row>
    <row r="247" spans="1:11" x14ac:dyDescent="0.35">
      <c r="A247">
        <v>2011</v>
      </c>
      <c r="B247" s="1">
        <f>DATE(_dat69[[#This Row],[Year]],_dat69[[#This Row],[Quarter]]*3-1,15)</f>
        <v>40678</v>
      </c>
      <c r="C247" s="2">
        <f>_dat69[[#This Row],[Year]]+(_dat69[[#This Row],[Quarter]]-1)/4+1/8</f>
        <v>2011.375</v>
      </c>
      <c r="D247" s="2">
        <f>_dat69[[#This Row],[DecDate]]^2</f>
        <v>4045629.390625</v>
      </c>
      <c r="E247">
        <v>2</v>
      </c>
      <c r="F247">
        <v>1612</v>
      </c>
      <c r="G247">
        <f>LN(_dat69[[#This Row],[Expenditure]])</f>
        <v>7.3852309230665734</v>
      </c>
      <c r="H247">
        <f>$P$40+_dat69[[#This Row],[DecDate]]*$P$41</f>
        <v>7.3505300307348502</v>
      </c>
      <c r="I247" s="2">
        <f>$P$17+$P$18*_dat69[[#This Row],[DecDate]]+$P$19*_dat69[[#This Row],[DecDate^2]]</f>
        <v>7.3353616498361873</v>
      </c>
      <c r="J247" s="2">
        <f>_dat69[[#This Row],[LOG(Expenditure 69)]]-_dat69[[#This Row],[Quadratic Trend LOG]]</f>
        <v>4.9869273230386035E-2</v>
      </c>
      <c r="K247" s="2">
        <f t="shared" si="3"/>
        <v>1.2518635455487015E-2</v>
      </c>
    </row>
    <row r="248" spans="1:11" x14ac:dyDescent="0.35">
      <c r="A248">
        <v>2011</v>
      </c>
      <c r="B248" s="1">
        <f>DATE(_dat69[[#This Row],[Year]],_dat69[[#This Row],[Quarter]]*3-1,15)</f>
        <v>40770</v>
      </c>
      <c r="C248" s="2">
        <f>_dat69[[#This Row],[Year]]+(_dat69[[#This Row],[Quarter]]-1)/4+1/8</f>
        <v>2011.625</v>
      </c>
      <c r="D248" s="2">
        <f>_dat69[[#This Row],[DecDate]]^2</f>
        <v>4046635.140625</v>
      </c>
      <c r="E248">
        <v>3</v>
      </c>
      <c r="F248">
        <v>1544</v>
      </c>
      <c r="G248">
        <f>LN(_dat69[[#This Row],[Expenditure]])</f>
        <v>7.3421317305847218</v>
      </c>
      <c r="H248">
        <f>$P$40+_dat69[[#This Row],[DecDate]]*$P$41</f>
        <v>7.3519577708625583</v>
      </c>
      <c r="I248" s="2">
        <f>$P$17+$P$18*_dat69[[#This Row],[DecDate]]+$P$19*_dat69[[#This Row],[DecDate^2]]</f>
        <v>7.3359988554545623</v>
      </c>
      <c r="J248" s="2">
        <f>_dat69[[#This Row],[LOG(Expenditure 69)]]-_dat69[[#This Row],[Quadratic Trend LOG]]</f>
        <v>6.1328751301594764E-3</v>
      </c>
      <c r="K248" s="2">
        <f t="shared" si="3"/>
        <v>1.2523897463199951E-2</v>
      </c>
    </row>
    <row r="249" spans="1:11" x14ac:dyDescent="0.35">
      <c r="A249">
        <v>2011</v>
      </c>
      <c r="B249" s="1">
        <f>DATE(_dat69[[#This Row],[Year]],_dat69[[#This Row],[Quarter]]*3-1,15)</f>
        <v>40862</v>
      </c>
      <c r="C249" s="2">
        <f>_dat69[[#This Row],[Year]]+(_dat69[[#This Row],[Quarter]]-1)/4+1/8</f>
        <v>2011.875</v>
      </c>
      <c r="D249" s="2">
        <f>_dat69[[#This Row],[DecDate]]^2</f>
        <v>4047641.015625</v>
      </c>
      <c r="E249">
        <v>4</v>
      </c>
      <c r="F249">
        <v>1435</v>
      </c>
      <c r="G249">
        <f>LN(_dat69[[#This Row],[Expenditure]])</f>
        <v>7.2689201281937219</v>
      </c>
      <c r="H249">
        <f>$P$40+_dat69[[#This Row],[DecDate]]*$P$41</f>
        <v>7.3533855109902646</v>
      </c>
      <c r="I249" s="2">
        <f>$P$17+$P$18*_dat69[[#This Row],[DecDate]]+$P$19*_dat69[[#This Row],[DecDate^2]]</f>
        <v>7.3366284597794902</v>
      </c>
      <c r="J249" s="2">
        <f>_dat69[[#This Row],[LOG(Expenditure 69)]]-_dat69[[#This Row],[Quadratic Trend LOG]]</f>
        <v>-6.7708331585768278E-2</v>
      </c>
      <c r="K249" s="2">
        <f t="shared" si="3"/>
        <v>2.0686397777870623E-3</v>
      </c>
    </row>
    <row r="250" spans="1:11" x14ac:dyDescent="0.35">
      <c r="A250">
        <v>2012</v>
      </c>
      <c r="B250" s="1">
        <f>DATE(_dat69[[#This Row],[Year]],_dat69[[#This Row],[Quarter]]*3-1,15)</f>
        <v>40954</v>
      </c>
      <c r="C250" s="2">
        <f>_dat69[[#This Row],[Year]]+(_dat69[[#This Row],[Quarter]]-1)/4+1/8</f>
        <v>2012.125</v>
      </c>
      <c r="D250" s="2">
        <f>_dat69[[#This Row],[DecDate]]^2</f>
        <v>4048647.015625</v>
      </c>
      <c r="E250">
        <v>1</v>
      </c>
      <c r="F250">
        <v>1559</v>
      </c>
      <c r="G250">
        <f>LN(_dat69[[#This Row],[Expenditure]])</f>
        <v>7.3517998690577766</v>
      </c>
      <c r="H250">
        <f>$P$40+_dat69[[#This Row],[DecDate]]*$P$41</f>
        <v>7.3548132511179727</v>
      </c>
      <c r="I250" s="2">
        <f>$P$17+$P$18*_dat69[[#This Row],[DecDate]]+$P$19*_dat69[[#This Row],[DecDate^2]]</f>
        <v>7.3372504628110846</v>
      </c>
      <c r="J250" s="2">
        <f>_dat69[[#This Row],[LOG(Expenditure 69)]]-_dat69[[#This Row],[Quadratic Trend LOG]]</f>
        <v>1.4549406246691987E-2</v>
      </c>
      <c r="K250" s="2">
        <f t="shared" si="3"/>
        <v>-7.821921099368901E-3</v>
      </c>
    </row>
    <row r="251" spans="1:11" x14ac:dyDescent="0.35">
      <c r="A251">
        <v>2012</v>
      </c>
      <c r="B251" s="1">
        <f>DATE(_dat69[[#This Row],[Year]],_dat69[[#This Row],[Quarter]]*3-1,15)</f>
        <v>41044</v>
      </c>
      <c r="C251" s="2">
        <f>_dat69[[#This Row],[Year]]+(_dat69[[#This Row],[Quarter]]-1)/4+1/8</f>
        <v>2012.375</v>
      </c>
      <c r="D251" s="2">
        <f>_dat69[[#This Row],[DecDate]]^2</f>
        <v>4049653.140625</v>
      </c>
      <c r="E251">
        <v>2</v>
      </c>
      <c r="F251">
        <v>1549</v>
      </c>
      <c r="G251">
        <f>LN(_dat69[[#This Row],[Expenditure]])</f>
        <v>7.3453648404168685</v>
      </c>
      <c r="H251">
        <f>$P$40+_dat69[[#This Row],[DecDate]]*$P$41</f>
        <v>7.3562409912456808</v>
      </c>
      <c r="I251" s="2">
        <f>$P$17+$P$18*_dat69[[#This Row],[DecDate]]+$P$19*_dat69[[#This Row],[DecDate^2]]</f>
        <v>7.3378648645494025</v>
      </c>
      <c r="J251" s="2">
        <f>_dat69[[#This Row],[LOG(Expenditure 69)]]-_dat69[[#This Row],[Quadratic Trend LOG]]</f>
        <v>7.499975867466091E-3</v>
      </c>
      <c r="K251" s="2">
        <f t="shared" si="3"/>
        <v>-1.2096555714093783E-2</v>
      </c>
    </row>
    <row r="252" spans="1:11" x14ac:dyDescent="0.35">
      <c r="A252">
        <v>2012</v>
      </c>
      <c r="B252" s="1">
        <f>DATE(_dat69[[#This Row],[Year]],_dat69[[#This Row],[Quarter]]*3-1,15)</f>
        <v>41136</v>
      </c>
      <c r="C252" s="2">
        <f>_dat69[[#This Row],[Year]]+(_dat69[[#This Row],[Quarter]]-1)/4+1/8</f>
        <v>2012.625</v>
      </c>
      <c r="D252" s="2">
        <f>_dat69[[#This Row],[DecDate]]^2</f>
        <v>4050659.390625</v>
      </c>
      <c r="E252">
        <v>3</v>
      </c>
      <c r="F252">
        <v>1539</v>
      </c>
      <c r="G252">
        <f>LN(_dat69[[#This Row],[Expenditure]])</f>
        <v>7.3388881338388794</v>
      </c>
      <c r="H252">
        <f>$P$40+_dat69[[#This Row],[DecDate]]*$P$41</f>
        <v>7.3576687313733888</v>
      </c>
      <c r="I252" s="2">
        <f>$P$17+$P$18*_dat69[[#This Row],[DecDate]]+$P$19*_dat69[[#This Row],[DecDate^2]]</f>
        <v>7.3384716649942732</v>
      </c>
      <c r="J252" s="2">
        <f>_dat69[[#This Row],[LOG(Expenditure 69)]]-_dat69[[#This Row],[Quadratic Trend LOG]]</f>
        <v>4.1646884460622147E-4</v>
      </c>
      <c r="K252" s="2">
        <f t="shared" si="3"/>
        <v>-4.0633942885683896E-4</v>
      </c>
    </row>
    <row r="253" spans="1:11" x14ac:dyDescent="0.35">
      <c r="A253">
        <v>2012</v>
      </c>
      <c r="B253" s="1">
        <f>DATE(_dat69[[#This Row],[Year]],_dat69[[#This Row],[Quarter]]*3-1,15)</f>
        <v>41228</v>
      </c>
      <c r="C253" s="2">
        <f>_dat69[[#This Row],[Year]]+(_dat69[[#This Row],[Quarter]]-1)/4+1/8</f>
        <v>2012.875</v>
      </c>
      <c r="D253" s="2">
        <f>_dat69[[#This Row],[DecDate]]^2</f>
        <v>4051665.765625</v>
      </c>
      <c r="E253">
        <v>4</v>
      </c>
      <c r="F253">
        <v>1516</v>
      </c>
      <c r="G253">
        <f>LN(_dat69[[#This Row],[Expenditure]])</f>
        <v>7.3238305662023171</v>
      </c>
      <c r="H253">
        <f>$P$40+_dat69[[#This Row],[DecDate]]*$P$41</f>
        <v>7.3590964715010969</v>
      </c>
      <c r="I253" s="2">
        <f>$P$17+$P$18*_dat69[[#This Row],[DecDate]]+$P$19*_dat69[[#This Row],[DecDate^2]]</f>
        <v>7.339070864145782</v>
      </c>
      <c r="J253" s="2">
        <f>_dat69[[#This Row],[LOG(Expenditure 69)]]-_dat69[[#This Row],[Quadratic Trend LOG]]</f>
        <v>-1.5240297943464931E-2</v>
      </c>
      <c r="K253" s="2">
        <f t="shared" si="3"/>
        <v>-6.2104631202881673E-4</v>
      </c>
    </row>
    <row r="254" spans="1:11" x14ac:dyDescent="0.35">
      <c r="A254">
        <v>2013</v>
      </c>
      <c r="B254" s="1">
        <f>DATE(_dat69[[#This Row],[Year]],_dat69[[#This Row],[Quarter]]*3-1,15)</f>
        <v>41320</v>
      </c>
      <c r="C254" s="2">
        <f>_dat69[[#This Row],[Year]]+(_dat69[[#This Row],[Quarter]]-1)/4+1/8</f>
        <v>2013.125</v>
      </c>
      <c r="D254" s="2">
        <f>_dat69[[#This Row],[DecDate]]^2</f>
        <v>4052672.265625</v>
      </c>
      <c r="E254">
        <v>1</v>
      </c>
      <c r="F254">
        <v>1526</v>
      </c>
      <c r="G254">
        <f>LN(_dat69[[#This Row],[Expenditure]])</f>
        <v>7.3304052118444023</v>
      </c>
      <c r="H254">
        <f>$P$40+_dat69[[#This Row],[DecDate]]*$P$41</f>
        <v>7.360524211628805</v>
      </c>
      <c r="I254" s="2">
        <f>$P$17+$P$18*_dat69[[#This Row],[DecDate]]+$P$19*_dat69[[#This Row],[DecDate^2]]</f>
        <v>7.3396624620039859</v>
      </c>
      <c r="J254" s="2">
        <f>_dat69[[#This Row],[LOG(Expenditure 69)]]-_dat69[[#This Row],[Quadratic Trend LOG]]</f>
        <v>-9.2572501595835632E-3</v>
      </c>
      <c r="K254" s="2">
        <f t="shared" si="3"/>
        <v>-2.6379822404487994E-3</v>
      </c>
    </row>
    <row r="255" spans="1:11" x14ac:dyDescent="0.35">
      <c r="A255">
        <v>2013</v>
      </c>
      <c r="B255" s="1">
        <f>DATE(_dat69[[#This Row],[Year]],_dat69[[#This Row],[Quarter]]*3-1,15)</f>
        <v>41409</v>
      </c>
      <c r="C255" s="2">
        <f>_dat69[[#This Row],[Year]]+(_dat69[[#This Row],[Quarter]]-1)/4+1/8</f>
        <v>2013.375</v>
      </c>
      <c r="D255" s="2">
        <f>_dat69[[#This Row],[DecDate]]^2</f>
        <v>4053678.890625</v>
      </c>
      <c r="E255">
        <v>2</v>
      </c>
      <c r="F255">
        <v>1562</v>
      </c>
      <c r="G255">
        <f>LN(_dat69[[#This Row],[Expenditure]])</f>
        <v>7.3537223303996315</v>
      </c>
      <c r="H255">
        <f>$P$40+_dat69[[#This Row],[DecDate]]*$P$41</f>
        <v>7.3619519517565113</v>
      </c>
      <c r="I255" s="2">
        <f>$P$17+$P$18*_dat69[[#This Row],[DecDate]]+$P$19*_dat69[[#This Row],[DecDate^2]]</f>
        <v>7.3402464585687994</v>
      </c>
      <c r="J255" s="2">
        <f>_dat69[[#This Row],[LOG(Expenditure 69)]]-_dat69[[#This Row],[Quadratic Trend LOG]]</f>
        <v>1.3475871830832098E-2</v>
      </c>
      <c r="K255" s="2">
        <f t="shared" si="3"/>
        <v>-1.1040132221411803E-2</v>
      </c>
    </row>
    <row r="256" spans="1:11" x14ac:dyDescent="0.35">
      <c r="A256">
        <v>2013</v>
      </c>
      <c r="B256" s="1">
        <f>DATE(_dat69[[#This Row],[Year]],_dat69[[#This Row],[Quarter]]*3-1,15)</f>
        <v>41501</v>
      </c>
      <c r="C256" s="2">
        <f>_dat69[[#This Row],[Year]]+(_dat69[[#This Row],[Quarter]]-1)/4+1/8</f>
        <v>2013.625</v>
      </c>
      <c r="D256" s="2">
        <f>_dat69[[#This Row],[DecDate]]^2</f>
        <v>4054685.640625</v>
      </c>
      <c r="E256">
        <v>3</v>
      </c>
      <c r="F256">
        <v>1538</v>
      </c>
      <c r="G256">
        <f>LN(_dat69[[#This Row],[Expenditure]])</f>
        <v>7.3382381500655889</v>
      </c>
      <c r="H256">
        <f>$P$40+_dat69[[#This Row],[DecDate]]*$P$41</f>
        <v>7.3633796918842194</v>
      </c>
      <c r="I256" s="2">
        <f>$P$17+$P$18*_dat69[[#This Row],[DecDate]]+$P$19*_dat69[[#This Row],[DecDate^2]]</f>
        <v>7.3408228538402227</v>
      </c>
      <c r="J256" s="2">
        <f>_dat69[[#This Row],[LOG(Expenditure 69)]]-_dat69[[#This Row],[Quadratic Trend LOG]]</f>
        <v>-2.5847037746338231E-3</v>
      </c>
      <c r="K256" s="2">
        <f t="shared" si="3"/>
        <v>-1.1221140214183656E-2</v>
      </c>
    </row>
    <row r="257" spans="1:11" x14ac:dyDescent="0.35">
      <c r="A257">
        <v>2013</v>
      </c>
      <c r="B257" s="1">
        <f>DATE(_dat69[[#This Row],[Year]],_dat69[[#This Row],[Quarter]]*3-1,15)</f>
        <v>41593</v>
      </c>
      <c r="C257" s="2">
        <f>_dat69[[#This Row],[Year]]+(_dat69[[#This Row],[Quarter]]-1)/4+1/8</f>
        <v>2013.875</v>
      </c>
      <c r="D257" s="2">
        <f>_dat69[[#This Row],[DecDate]]^2</f>
        <v>4055692.515625</v>
      </c>
      <c r="E257">
        <v>4</v>
      </c>
      <c r="F257">
        <v>1480</v>
      </c>
      <c r="G257">
        <f>LN(_dat69[[#This Row],[Expenditure]])</f>
        <v>7.2997973667581606</v>
      </c>
      <c r="H257">
        <f>$P$40+_dat69[[#This Row],[DecDate]]*$P$41</f>
        <v>7.3648074320119274</v>
      </c>
      <c r="I257" s="2">
        <f>$P$17+$P$18*_dat69[[#This Row],[DecDate]]+$P$19*_dat69[[#This Row],[DecDate^2]]</f>
        <v>7.3413916478183694</v>
      </c>
      <c r="J257" s="2">
        <f>_dat69[[#This Row],[LOG(Expenditure 69)]]-_dat69[[#This Row],[Quadratic Trend LOG]]</f>
        <v>-4.1594281060208793E-2</v>
      </c>
      <c r="K257" s="2">
        <f t="shared" si="3"/>
        <v>-1.0483593819636105E-2</v>
      </c>
    </row>
    <row r="258" spans="1:11" x14ac:dyDescent="0.35">
      <c r="A258">
        <v>2014</v>
      </c>
      <c r="B258" s="1">
        <f>DATE(_dat69[[#This Row],[Year]],_dat69[[#This Row],[Quarter]]*3-1,15)</f>
        <v>41685</v>
      </c>
      <c r="C258" s="2">
        <f>_dat69[[#This Row],[Year]]+(_dat69[[#This Row],[Quarter]]-1)/4+1/8</f>
        <v>2014.125</v>
      </c>
      <c r="D258" s="2">
        <f>_dat69[[#This Row],[DecDate]]^2</f>
        <v>4056699.515625</v>
      </c>
      <c r="E258">
        <v>1</v>
      </c>
      <c r="F258">
        <v>1519</v>
      </c>
      <c r="G258">
        <f>LN(_dat69[[#This Row],[Expenditure]])</f>
        <v>7.3258075025957732</v>
      </c>
      <c r="H258">
        <f>$P$40+_dat69[[#This Row],[DecDate]]*$P$41</f>
        <v>7.3662351721396355</v>
      </c>
      <c r="I258" s="2">
        <f>$P$17+$P$18*_dat69[[#This Row],[DecDate]]+$P$19*_dat69[[#This Row],[DecDate^2]]</f>
        <v>7.3419528405030974</v>
      </c>
      <c r="J258" s="2">
        <f>_dat69[[#This Row],[LOG(Expenditure 69)]]-_dat69[[#This Row],[Quadratic Trend LOG]]</f>
        <v>-1.6145337907324198E-2</v>
      </c>
      <c r="K258" s="2">
        <f t="shared" si="3"/>
        <v>-7.2399793034360728E-3</v>
      </c>
    </row>
    <row r="259" spans="1:11" x14ac:dyDescent="0.35">
      <c r="A259">
        <v>2014</v>
      </c>
      <c r="B259" s="1">
        <f>DATE(_dat69[[#This Row],[Year]],_dat69[[#This Row],[Quarter]]*3-1,15)</f>
        <v>41774</v>
      </c>
      <c r="C259" s="2">
        <f>_dat69[[#This Row],[Year]]+(_dat69[[#This Row],[Quarter]]-1)/4+1/8</f>
        <v>2014.375</v>
      </c>
      <c r="D259" s="2">
        <f>_dat69[[#This Row],[DecDate]]^2</f>
        <v>4057706.640625</v>
      </c>
      <c r="E259">
        <v>2</v>
      </c>
      <c r="F259">
        <v>1536</v>
      </c>
      <c r="G259">
        <f>LN(_dat69[[#This Row],[Expenditure]])</f>
        <v>7.3369369137076177</v>
      </c>
      <c r="H259">
        <f>$P$40+_dat69[[#This Row],[DecDate]]*$P$41</f>
        <v>7.3676629122673436</v>
      </c>
      <c r="I259" s="2">
        <f>$P$17+$P$18*_dat69[[#This Row],[DecDate]]+$P$19*_dat69[[#This Row],[DecDate^2]]</f>
        <v>7.3425064318944635</v>
      </c>
      <c r="J259" s="2">
        <f>_dat69[[#This Row],[LOG(Expenditure 69)]]-_dat69[[#This Row],[Quadratic Trend LOG]]</f>
        <v>-5.5695181868458121E-3</v>
      </c>
      <c r="K259" s="2">
        <f t="shared" si="3"/>
        <v>-2.4051755037344689E-3</v>
      </c>
    </row>
    <row r="260" spans="1:11" x14ac:dyDescent="0.35">
      <c r="A260">
        <v>2014</v>
      </c>
      <c r="B260" s="1">
        <f>DATE(_dat69[[#This Row],[Year]],_dat69[[#This Row],[Quarter]]*3-1,15)</f>
        <v>41866</v>
      </c>
      <c r="C260" s="2">
        <f>_dat69[[#This Row],[Year]]+(_dat69[[#This Row],[Quarter]]-1)/4+1/8</f>
        <v>2014.625</v>
      </c>
      <c r="D260" s="2">
        <f>_dat69[[#This Row],[DecDate]]^2</f>
        <v>4058713.890625</v>
      </c>
      <c r="E260">
        <v>3</v>
      </c>
      <c r="F260">
        <v>1592</v>
      </c>
      <c r="G260">
        <f>LN(_dat69[[#This Row],[Expenditure]])</f>
        <v>7.3727463664043285</v>
      </c>
      <c r="H260">
        <f>$P$40+_dat69[[#This Row],[DecDate]]*$P$41</f>
        <v>7.3690906523950517</v>
      </c>
      <c r="I260" s="2">
        <f>$P$17+$P$18*_dat69[[#This Row],[DecDate]]+$P$19*_dat69[[#This Row],[DecDate^2]]</f>
        <v>7.3430524219924962</v>
      </c>
      <c r="J260" s="2">
        <f>_dat69[[#This Row],[LOG(Expenditure 69)]]-_dat69[[#This Row],[Quadratic Trend LOG]]</f>
        <v>2.9693944411832263E-2</v>
      </c>
      <c r="K260" s="2">
        <f t="shared" si="3"/>
        <v>5.3861315192555992E-3</v>
      </c>
    </row>
    <row r="261" spans="1:11" x14ac:dyDescent="0.35">
      <c r="A261">
        <v>2014</v>
      </c>
      <c r="B261" s="1">
        <f>DATE(_dat69[[#This Row],[Year]],_dat69[[#This Row],[Quarter]]*3-1,15)</f>
        <v>41958</v>
      </c>
      <c r="C261" s="2">
        <f>_dat69[[#This Row],[Year]]+(_dat69[[#This Row],[Quarter]]-1)/4+1/8</f>
        <v>2014.875</v>
      </c>
      <c r="D261" s="2">
        <f>_dat69[[#This Row],[DecDate]]^2</f>
        <v>4059721.265625</v>
      </c>
      <c r="E261">
        <v>4</v>
      </c>
      <c r="F261">
        <v>1580</v>
      </c>
      <c r="G261">
        <f>LN(_dat69[[#This Row],[Expenditure]])</f>
        <v>7.3651801260210128</v>
      </c>
      <c r="H261">
        <f>$P$40+_dat69[[#This Row],[DecDate]]*$P$41</f>
        <v>7.370518392522758</v>
      </c>
      <c r="I261" s="2">
        <f>$P$17+$P$18*_dat69[[#This Row],[DecDate]]+$P$19*_dat69[[#This Row],[DecDate^2]]</f>
        <v>7.3435908107971386</v>
      </c>
      <c r="J261" s="2">
        <f>_dat69[[#This Row],[LOG(Expenditure 69)]]-_dat69[[#This Row],[Quadratic Trend LOG]]</f>
        <v>2.1589315223874195E-2</v>
      </c>
      <c r="K261" s="2">
        <f t="shared" ref="K261:K285" si="4">AVERAGE(J259:J263)</f>
        <v>1.4612045239224792E-2</v>
      </c>
    </row>
    <row r="262" spans="1:11" x14ac:dyDescent="0.35">
      <c r="A262">
        <v>2015</v>
      </c>
      <c r="B262" s="1">
        <f>DATE(_dat69[[#This Row],[Year]],_dat69[[#This Row],[Quarter]]*3-1,15)</f>
        <v>42050</v>
      </c>
      <c r="C262" s="2">
        <f>_dat69[[#This Row],[Year]]+(_dat69[[#This Row],[Quarter]]-1)/4+1/8</f>
        <v>2015.125</v>
      </c>
      <c r="D262" s="2">
        <f>_dat69[[#This Row],[DecDate]]^2</f>
        <v>4060728.765625</v>
      </c>
      <c r="E262">
        <v>1</v>
      </c>
      <c r="F262">
        <v>1543</v>
      </c>
      <c r="G262">
        <f>LN(_dat69[[#This Row],[Expenditure]])</f>
        <v>7.3414838523631607</v>
      </c>
      <c r="H262">
        <f>$P$40+_dat69[[#This Row],[DecDate]]*$P$41</f>
        <v>7.3719461326504661</v>
      </c>
      <c r="I262" s="2">
        <f>$P$17+$P$18*_dat69[[#This Row],[DecDate]]+$P$19*_dat69[[#This Row],[DecDate^2]]</f>
        <v>7.3441215983084192</v>
      </c>
      <c r="J262" s="2">
        <f>_dat69[[#This Row],[LOG(Expenditure 69)]]-_dat69[[#This Row],[Quadratic Trend LOG]]</f>
        <v>-2.6377459452584517E-3</v>
      </c>
      <c r="K262" s="2">
        <f t="shared" si="4"/>
        <v>2.2495500512058796E-2</v>
      </c>
    </row>
    <row r="263" spans="1:11" x14ac:dyDescent="0.35">
      <c r="A263">
        <v>2015</v>
      </c>
      <c r="B263" s="1">
        <f>DATE(_dat69[[#This Row],[Year]],_dat69[[#This Row],[Quarter]]*3-1,15)</f>
        <v>42139</v>
      </c>
      <c r="C263" s="2">
        <f>_dat69[[#This Row],[Year]]+(_dat69[[#This Row],[Quarter]]-1)/4+1/8</f>
        <v>2015.375</v>
      </c>
      <c r="D263" s="2">
        <f>_dat69[[#This Row],[DecDate]]^2</f>
        <v>4061736.390625</v>
      </c>
      <c r="E263">
        <v>2</v>
      </c>
      <c r="F263">
        <v>1595</v>
      </c>
      <c r="G263">
        <f>LN(_dat69[[#This Row],[Expenditure]])</f>
        <v>7.3746290152189449</v>
      </c>
      <c r="H263">
        <f>$P$40+_dat69[[#This Row],[DecDate]]*$P$41</f>
        <v>7.3733738727781741</v>
      </c>
      <c r="I263" s="2">
        <f>$P$17+$P$18*_dat69[[#This Row],[DecDate]]+$P$19*_dat69[[#This Row],[DecDate^2]]</f>
        <v>7.3446447845264231</v>
      </c>
      <c r="J263" s="2">
        <f>_dat69[[#This Row],[LOG(Expenditure 69)]]-_dat69[[#This Row],[Quadratic Trend LOG]]</f>
        <v>2.9984230692521763E-2</v>
      </c>
      <c r="K263" s="2">
        <f t="shared" si="4"/>
        <v>1.5590151837912281E-2</v>
      </c>
    </row>
    <row r="264" spans="1:11" x14ac:dyDescent="0.35">
      <c r="A264">
        <v>2015</v>
      </c>
      <c r="B264" s="1">
        <f>DATE(_dat69[[#This Row],[Year]],_dat69[[#This Row],[Quarter]]*3-1,15)</f>
        <v>42231</v>
      </c>
      <c r="C264" s="2">
        <f>_dat69[[#This Row],[Year]]+(_dat69[[#This Row],[Quarter]]-1)/4+1/8</f>
        <v>2015.625</v>
      </c>
      <c r="D264" s="2">
        <f>_dat69[[#This Row],[DecDate]]^2</f>
        <v>4062744.140625</v>
      </c>
      <c r="E264">
        <v>3</v>
      </c>
      <c r="F264">
        <v>1602</v>
      </c>
      <c r="G264">
        <f>LN(_dat69[[#This Row],[Expenditure]])</f>
        <v>7.3790081276283042</v>
      </c>
      <c r="H264">
        <f>$P$40+_dat69[[#This Row],[DecDate]]*$P$41</f>
        <v>7.3748016129058822</v>
      </c>
      <c r="I264" s="2">
        <f>$P$17+$P$18*_dat69[[#This Row],[DecDate]]+$P$19*_dat69[[#This Row],[DecDate^2]]</f>
        <v>7.3451603694509799</v>
      </c>
      <c r="J264" s="2">
        <f>_dat69[[#This Row],[LOG(Expenditure 69)]]-_dat69[[#This Row],[Quadratic Trend LOG]]</f>
        <v>3.3847758177324216E-2</v>
      </c>
      <c r="K264" s="2">
        <f t="shared" si="4"/>
        <v>2.4712008848166888E-2</v>
      </c>
    </row>
    <row r="265" spans="1:11" x14ac:dyDescent="0.35">
      <c r="A265">
        <v>2015</v>
      </c>
      <c r="B265" s="1">
        <f>DATE(_dat69[[#This Row],[Year]],_dat69[[#This Row],[Quarter]]*3-1,15)</f>
        <v>42323</v>
      </c>
      <c r="C265" s="2">
        <f>_dat69[[#This Row],[Year]]+(_dat69[[#This Row],[Quarter]]-1)/4+1/8</f>
        <v>2015.875</v>
      </c>
      <c r="D265" s="2">
        <f>_dat69[[#This Row],[DecDate]]^2</f>
        <v>4063752.015625</v>
      </c>
      <c r="E265">
        <v>4</v>
      </c>
      <c r="F265">
        <v>1542</v>
      </c>
      <c r="G265">
        <f>LN(_dat69[[#This Row],[Expenditure]])</f>
        <v>7.3408355541232746</v>
      </c>
      <c r="H265">
        <f>$P$40+_dat69[[#This Row],[DecDate]]*$P$41</f>
        <v>7.3762293530335903</v>
      </c>
      <c r="I265" s="2">
        <f>$P$17+$P$18*_dat69[[#This Row],[DecDate]]+$P$19*_dat69[[#This Row],[DecDate^2]]</f>
        <v>7.3456683530821749</v>
      </c>
      <c r="J265" s="2">
        <f>_dat69[[#This Row],[LOG(Expenditure 69)]]-_dat69[[#This Row],[Quadratic Trend LOG]]</f>
        <v>-4.8327989589003195E-3</v>
      </c>
      <c r="K265" s="2">
        <f t="shared" si="4"/>
        <v>2.9322666720508116E-2</v>
      </c>
    </row>
    <row r="266" spans="1:11" x14ac:dyDescent="0.35">
      <c r="A266">
        <v>2016</v>
      </c>
      <c r="B266" s="1">
        <f>DATE(_dat69[[#This Row],[Year]],_dat69[[#This Row],[Quarter]]*3-1,15)</f>
        <v>42415</v>
      </c>
      <c r="C266" s="2">
        <f>_dat69[[#This Row],[Year]]+(_dat69[[#This Row],[Quarter]]-1)/4+1/8</f>
        <v>2016.125</v>
      </c>
      <c r="D266" s="2">
        <f>_dat69[[#This Row],[DecDate]]^2</f>
        <v>4064760.015625</v>
      </c>
      <c r="E266">
        <v>1</v>
      </c>
      <c r="F266">
        <v>1658</v>
      </c>
      <c r="G266">
        <f>LN(_dat69[[#This Row],[Expenditure]])</f>
        <v>7.4133673356952405</v>
      </c>
      <c r="H266">
        <f>$P$40+_dat69[[#This Row],[DecDate]]*$P$41</f>
        <v>7.3776570931612984</v>
      </c>
      <c r="I266" s="2">
        <f>$P$17+$P$18*_dat69[[#This Row],[DecDate]]+$P$19*_dat69[[#This Row],[DecDate^2]]</f>
        <v>7.3461687354200933</v>
      </c>
      <c r="J266" s="2">
        <f>_dat69[[#This Row],[LOG(Expenditure 69)]]-_dat69[[#This Row],[Quadratic Trend LOG]]</f>
        <v>6.7198600275147236E-2</v>
      </c>
      <c r="K266" s="2">
        <f t="shared" si="4"/>
        <v>2.8696853208895413E-2</v>
      </c>
    </row>
    <row r="267" spans="1:11" x14ac:dyDescent="0.35">
      <c r="A267">
        <v>2016</v>
      </c>
      <c r="B267" s="1">
        <f>DATE(_dat69[[#This Row],[Year]],_dat69[[#This Row],[Quarter]]*3-1,15)</f>
        <v>42505</v>
      </c>
      <c r="C267" s="2">
        <f>_dat69[[#This Row],[Year]]+(_dat69[[#This Row],[Quarter]]-1)/4+1/8</f>
        <v>2016.375</v>
      </c>
      <c r="D267" s="2">
        <f>_dat69[[#This Row],[DecDate]]^2</f>
        <v>4065768.140625</v>
      </c>
      <c r="E267">
        <v>2</v>
      </c>
      <c r="F267">
        <v>1583</v>
      </c>
      <c r="G267">
        <f>LN(_dat69[[#This Row],[Expenditure]])</f>
        <v>7.3670770598810122</v>
      </c>
      <c r="H267">
        <f>$P$40+_dat69[[#This Row],[DecDate]]*$P$41</f>
        <v>7.3790848332890047</v>
      </c>
      <c r="I267" s="2">
        <f>$P$17+$P$18*_dat69[[#This Row],[DecDate]]+$P$19*_dat69[[#This Row],[DecDate^2]]</f>
        <v>7.3466615164645646</v>
      </c>
      <c r="J267" s="2">
        <f>_dat69[[#This Row],[LOG(Expenditure 69)]]-_dat69[[#This Row],[Quadratic Trend LOG]]</f>
        <v>2.041554341644769E-2</v>
      </c>
      <c r="K267" s="2">
        <f t="shared" si="4"/>
        <v>1.1005982593285602E-2</v>
      </c>
    </row>
    <row r="268" spans="1:11" x14ac:dyDescent="0.35">
      <c r="A268">
        <v>2016</v>
      </c>
      <c r="B268" s="1">
        <f>DATE(_dat69[[#This Row],[Year]],_dat69[[#This Row],[Quarter]]*3-1,15)</f>
        <v>42597</v>
      </c>
      <c r="C268" s="2">
        <f>_dat69[[#This Row],[Year]]+(_dat69[[#This Row],[Quarter]]-1)/4+1/8</f>
        <v>2016.625</v>
      </c>
      <c r="D268" s="2">
        <f>_dat69[[#This Row],[DecDate]]^2</f>
        <v>4066776.390625</v>
      </c>
      <c r="E268">
        <v>3</v>
      </c>
      <c r="F268">
        <v>1594</v>
      </c>
      <c r="G268">
        <f>LN(_dat69[[#This Row],[Expenditure]])</f>
        <v>7.3740018593501606</v>
      </c>
      <c r="H268">
        <f>$P$40+_dat69[[#This Row],[DecDate]]*$P$41</f>
        <v>7.3805125734167127</v>
      </c>
      <c r="I268" s="2">
        <f>$P$17+$P$18*_dat69[[#This Row],[DecDate]]+$P$19*_dat69[[#This Row],[DecDate^2]]</f>
        <v>7.3471466962157024</v>
      </c>
      <c r="J268" s="2">
        <f>_dat69[[#This Row],[LOG(Expenditure 69)]]-_dat69[[#This Row],[Quadratic Trend LOG]]</f>
        <v>2.6855163134458238E-2</v>
      </c>
      <c r="K268" s="2">
        <f t="shared" si="4"/>
        <v>1.3226158101776875E-2</v>
      </c>
    </row>
    <row r="269" spans="1:11" x14ac:dyDescent="0.35">
      <c r="A269">
        <v>2016</v>
      </c>
      <c r="B269" s="1">
        <f>DATE(_dat69[[#This Row],[Year]],_dat69[[#This Row],[Quarter]]*3-1,15)</f>
        <v>42689</v>
      </c>
      <c r="C269" s="2">
        <f>_dat69[[#This Row],[Year]]+(_dat69[[#This Row],[Quarter]]-1)/4+1/8</f>
        <v>2016.875</v>
      </c>
      <c r="D269" s="2">
        <f>_dat69[[#This Row],[DecDate]]^2</f>
        <v>4067784.765625</v>
      </c>
      <c r="E269">
        <v>4</v>
      </c>
      <c r="F269">
        <v>1470</v>
      </c>
      <c r="G269">
        <f>LN(_dat69[[#This Row],[Expenditure]])</f>
        <v>7.2930176797727819</v>
      </c>
      <c r="H269">
        <f>$P$40+_dat69[[#This Row],[DecDate]]*$P$41</f>
        <v>7.3819403135444208</v>
      </c>
      <c r="I269" s="2">
        <f>$P$17+$P$18*_dat69[[#This Row],[DecDate]]+$P$19*_dat69[[#This Row],[DecDate^2]]</f>
        <v>7.3476242746735068</v>
      </c>
      <c r="J269" s="2">
        <f>_dat69[[#This Row],[LOG(Expenditure 69)]]-_dat69[[#This Row],[Quadratic Trend LOG]]</f>
        <v>-5.4606594900724836E-2</v>
      </c>
      <c r="K269" s="2">
        <f t="shared" si="4"/>
        <v>6.9149660803926596E-4</v>
      </c>
    </row>
    <row r="270" spans="1:11" x14ac:dyDescent="0.35">
      <c r="A270">
        <v>2017</v>
      </c>
      <c r="B270" s="1">
        <f>DATE(_dat69[[#This Row],[Year]],_dat69[[#This Row],[Quarter]]*3-1,15)</f>
        <v>42781</v>
      </c>
      <c r="C270" s="2">
        <f>_dat69[[#This Row],[Year]]+(_dat69[[#This Row],[Quarter]]-1)/4+1/8</f>
        <v>2017.125</v>
      </c>
      <c r="D270" s="2">
        <f>_dat69[[#This Row],[DecDate]]^2</f>
        <v>4068793.265625</v>
      </c>
      <c r="E270">
        <v>1</v>
      </c>
      <c r="F270">
        <v>1563</v>
      </c>
      <c r="G270">
        <f>LN(_dat69[[#This Row],[Expenditure]])</f>
        <v>7.3543623304214769</v>
      </c>
      <c r="H270">
        <f>$P$40+_dat69[[#This Row],[DecDate]]*$P$41</f>
        <v>7.3833680536721289</v>
      </c>
      <c r="I270" s="2">
        <f>$P$17+$P$18*_dat69[[#This Row],[DecDate]]+$P$19*_dat69[[#This Row],[DecDate^2]]</f>
        <v>7.3480942518379209</v>
      </c>
      <c r="J270" s="2">
        <f>_dat69[[#This Row],[LOG(Expenditure 69)]]-_dat69[[#This Row],[Quadratic Trend LOG]]</f>
        <v>6.2680785835560471E-3</v>
      </c>
      <c r="K270" s="2">
        <f t="shared" si="4"/>
        <v>-1.9379172224446961E-3</v>
      </c>
    </row>
    <row r="271" spans="1:11" x14ac:dyDescent="0.35">
      <c r="A271">
        <v>2017</v>
      </c>
      <c r="B271" s="1">
        <f>DATE(_dat69[[#This Row],[Year]],_dat69[[#This Row],[Quarter]]*3-1,15)</f>
        <v>42870</v>
      </c>
      <c r="C271" s="2">
        <f>_dat69[[#This Row],[Year]]+(_dat69[[#This Row],[Quarter]]-1)/4+1/8</f>
        <v>2017.375</v>
      </c>
      <c r="D271" s="2">
        <f>_dat69[[#This Row],[DecDate]]^2</f>
        <v>4069801.890625</v>
      </c>
      <c r="E271">
        <v>2</v>
      </c>
      <c r="F271">
        <v>1561</v>
      </c>
      <c r="G271">
        <f>LN(_dat69[[#This Row],[Expenditure]])</f>
        <v>7.3530819205154323</v>
      </c>
      <c r="H271">
        <f>$P$40+_dat69[[#This Row],[DecDate]]*$P$41</f>
        <v>7.384795793799837</v>
      </c>
      <c r="I271" s="2">
        <f>$P$17+$P$18*_dat69[[#This Row],[DecDate]]+$P$19*_dat69[[#This Row],[DecDate^2]]</f>
        <v>7.3485566277089731</v>
      </c>
      <c r="J271" s="2">
        <f>_dat69[[#This Row],[LOG(Expenditure 69)]]-_dat69[[#This Row],[Quadratic Trend LOG]]</f>
        <v>4.5252928064591913E-3</v>
      </c>
      <c r="K271" s="2">
        <f t="shared" si="4"/>
        <v>-1.9005709334949827E-2</v>
      </c>
    </row>
    <row r="272" spans="1:11" x14ac:dyDescent="0.35">
      <c r="A272">
        <v>2017</v>
      </c>
      <c r="B272" s="1">
        <f>DATE(_dat69[[#This Row],[Year]],_dat69[[#This Row],[Quarter]]*3-1,15)</f>
        <v>42962</v>
      </c>
      <c r="C272" s="2">
        <f>_dat69[[#This Row],[Year]]+(_dat69[[#This Row],[Quarter]]-1)/4+1/8</f>
        <v>2017.625</v>
      </c>
      <c r="D272" s="2">
        <f>_dat69[[#This Row],[DecDate]]^2</f>
        <v>4070810.640625</v>
      </c>
      <c r="E272">
        <v>3</v>
      </c>
      <c r="F272">
        <v>1566</v>
      </c>
      <c r="G272">
        <f>LN(_dat69[[#This Row],[Expenditure]])</f>
        <v>7.3562798765507482</v>
      </c>
      <c r="H272">
        <f>$P$40+_dat69[[#This Row],[DecDate]]*$P$41</f>
        <v>7.3862235339275433</v>
      </c>
      <c r="I272" s="2">
        <f>$P$17+$P$18*_dat69[[#This Row],[DecDate]]+$P$19*_dat69[[#This Row],[DecDate^2]]</f>
        <v>7.3490114022867203</v>
      </c>
      <c r="J272" s="2">
        <f>_dat69[[#This Row],[LOG(Expenditure 69)]]-_dat69[[#This Row],[Quadratic Trend LOG]]</f>
        <v>7.2684742640278799E-3</v>
      </c>
      <c r="K272" s="2">
        <f t="shared" si="4"/>
        <v>-1.3034228276092996E-2</v>
      </c>
    </row>
    <row r="273" spans="1:11" x14ac:dyDescent="0.35">
      <c r="A273">
        <v>2017</v>
      </c>
      <c r="B273" s="1">
        <f>DATE(_dat69[[#This Row],[Year]],_dat69[[#This Row],[Quarter]]*3-1,15)</f>
        <v>43054</v>
      </c>
      <c r="C273" s="2">
        <f>_dat69[[#This Row],[Year]]+(_dat69[[#This Row],[Quarter]]-1)/4+1/8</f>
        <v>2017.875</v>
      </c>
      <c r="D273" s="2">
        <f>_dat69[[#This Row],[DecDate]]^2</f>
        <v>4071819.515625</v>
      </c>
      <c r="E273">
        <v>4</v>
      </c>
      <c r="F273">
        <v>1467</v>
      </c>
      <c r="G273">
        <f>LN(_dat69[[#This Row],[Expenditure]])</f>
        <v>7.2909747781429814</v>
      </c>
      <c r="H273">
        <f>$P$40+_dat69[[#This Row],[DecDate]]*$P$41</f>
        <v>7.3876512740552513</v>
      </c>
      <c r="I273" s="2">
        <f>$P$17+$P$18*_dat69[[#This Row],[DecDate]]+$P$19*_dat69[[#This Row],[DecDate^2]]</f>
        <v>7.3494585755710489</v>
      </c>
      <c r="J273" s="2">
        <f>_dat69[[#This Row],[LOG(Expenditure 69)]]-_dat69[[#This Row],[Quadratic Trend LOG]]</f>
        <v>-5.8483797428067419E-2</v>
      </c>
      <c r="K273" s="2">
        <f t="shared" si="4"/>
        <v>-2.4394394293107524E-2</v>
      </c>
    </row>
    <row r="274" spans="1:11" x14ac:dyDescent="0.35">
      <c r="A274">
        <v>2018</v>
      </c>
      <c r="B274" s="1">
        <f>DATE(_dat69[[#This Row],[Year]],_dat69[[#This Row],[Quarter]]*3-1,15)</f>
        <v>43146</v>
      </c>
      <c r="C274" s="2">
        <f>_dat69[[#This Row],[Year]]+(_dat69[[#This Row],[Quarter]]-1)/4+1/8</f>
        <v>2018.125</v>
      </c>
      <c r="D274" s="2">
        <f>_dat69[[#This Row],[DecDate]]^2</f>
        <v>4072828.515625</v>
      </c>
      <c r="E274">
        <v>1</v>
      </c>
      <c r="F274">
        <v>1518</v>
      </c>
      <c r="G274">
        <f>LN(_dat69[[#This Row],[Expenditure]])</f>
        <v>7.3251489579555749</v>
      </c>
      <c r="H274">
        <f>$P$40+_dat69[[#This Row],[DecDate]]*$P$41</f>
        <v>7.3890790141829594</v>
      </c>
      <c r="I274" s="2">
        <f>$P$17+$P$18*_dat69[[#This Row],[DecDate]]+$P$19*_dat69[[#This Row],[DecDate^2]]</f>
        <v>7.3498981475620155</v>
      </c>
      <c r="J274" s="2">
        <f>_dat69[[#This Row],[LOG(Expenditure 69)]]-_dat69[[#This Row],[Quadratic Trend LOG]]</f>
        <v>-2.474918960644068E-2</v>
      </c>
      <c r="K274" s="2">
        <f t="shared" si="4"/>
        <v>-1.7290646040053835E-2</v>
      </c>
    </row>
    <row r="275" spans="1:11" x14ac:dyDescent="0.35">
      <c r="A275">
        <v>2018</v>
      </c>
      <c r="B275" s="1">
        <f>DATE(_dat69[[#This Row],[Year]],_dat69[[#This Row],[Quarter]]*3-1,15)</f>
        <v>43235</v>
      </c>
      <c r="C275" s="2">
        <f>_dat69[[#This Row],[Year]]+(_dat69[[#This Row],[Quarter]]-1)/4+1/8</f>
        <v>2018.375</v>
      </c>
      <c r="D275" s="2">
        <f>_dat69[[#This Row],[DecDate]]^2</f>
        <v>4073837.640625</v>
      </c>
      <c r="E275">
        <v>2</v>
      </c>
      <c r="F275">
        <v>1480</v>
      </c>
      <c r="G275">
        <f>LN(_dat69[[#This Row],[Expenditure]])</f>
        <v>7.2997973667581606</v>
      </c>
      <c r="H275">
        <f>$P$40+_dat69[[#This Row],[DecDate]]*$P$41</f>
        <v>7.3905067543106675</v>
      </c>
      <c r="I275" s="2">
        <f>$P$17+$P$18*_dat69[[#This Row],[DecDate]]+$P$19*_dat69[[#This Row],[DecDate^2]]</f>
        <v>7.3503301182596772</v>
      </c>
      <c r="J275" s="2">
        <f>_dat69[[#This Row],[LOG(Expenditure 69)]]-_dat69[[#This Row],[Quadratic Trend LOG]]</f>
        <v>-5.0532751501516593E-2</v>
      </c>
      <c r="K275" s="2">
        <f t="shared" si="4"/>
        <v>-2.1851795662385064E-2</v>
      </c>
    </row>
    <row r="276" spans="1:11" x14ac:dyDescent="0.35">
      <c r="A276">
        <v>2018</v>
      </c>
      <c r="B276" s="1">
        <f>DATE(_dat69[[#This Row],[Year]],_dat69[[#This Row],[Quarter]]*3-1,15)</f>
        <v>43327</v>
      </c>
      <c r="C276" s="2">
        <f>_dat69[[#This Row],[Year]]+(_dat69[[#This Row],[Quarter]]-1)/4+1/8</f>
        <v>2018.625</v>
      </c>
      <c r="D276" s="2">
        <f>_dat69[[#This Row],[DecDate]]^2</f>
        <v>4074846.890625</v>
      </c>
      <c r="E276">
        <v>3</v>
      </c>
      <c r="F276">
        <v>1621</v>
      </c>
      <c r="G276">
        <f>LN(_dat69[[#This Row],[Expenditure]])</f>
        <v>7.3907985217356762</v>
      </c>
      <c r="H276">
        <f>$P$40+_dat69[[#This Row],[DecDate]]*$P$41</f>
        <v>7.3919344944383756</v>
      </c>
      <c r="I276" s="2">
        <f>$P$17+$P$18*_dat69[[#This Row],[DecDate]]+$P$19*_dat69[[#This Row],[DecDate^2]]</f>
        <v>7.3507544876639486</v>
      </c>
      <c r="J276" s="2">
        <f>_dat69[[#This Row],[LOG(Expenditure 69)]]-_dat69[[#This Row],[Quadratic Trend LOG]]</f>
        <v>4.004403407172763E-2</v>
      </c>
      <c r="K276" s="2">
        <f t="shared" si="4"/>
        <v>-3.7974912967760231E-3</v>
      </c>
    </row>
    <row r="277" spans="1:11" x14ac:dyDescent="0.35">
      <c r="A277">
        <v>2018</v>
      </c>
      <c r="B277" s="1">
        <f>DATE(_dat69[[#This Row],[Year]],_dat69[[#This Row],[Quarter]]*3-1,15)</f>
        <v>43419</v>
      </c>
      <c r="C277" s="2">
        <f>_dat69[[#This Row],[Year]]+(_dat69[[#This Row],[Quarter]]-1)/4+1/8</f>
        <v>2018.875</v>
      </c>
      <c r="D277" s="2">
        <f>_dat69[[#This Row],[DecDate]]^2</f>
        <v>4075856.265625</v>
      </c>
      <c r="E277">
        <v>4</v>
      </c>
      <c r="F277">
        <v>1534</v>
      </c>
      <c r="G277">
        <f>LN(_dat69[[#This Row],[Expenditure]])</f>
        <v>7.3356339819272014</v>
      </c>
      <c r="H277">
        <f>$P$40+_dat69[[#This Row],[DecDate]]*$P$41</f>
        <v>7.3933622345660837</v>
      </c>
      <c r="I277" s="2">
        <f>$P$17+$P$18*_dat69[[#This Row],[DecDate]]+$P$19*_dat69[[#This Row],[DecDate^2]]</f>
        <v>7.3511712557748297</v>
      </c>
      <c r="J277" s="2">
        <f>_dat69[[#This Row],[LOG(Expenditure 69)]]-_dat69[[#This Row],[Quadratic Trend LOG]]</f>
        <v>-1.5537273847628263E-2</v>
      </c>
      <c r="K277" s="2">
        <f t="shared" si="4"/>
        <v>-1.2066839347831149E-3</v>
      </c>
    </row>
    <row r="278" spans="1:11" x14ac:dyDescent="0.35">
      <c r="A278">
        <v>2019</v>
      </c>
      <c r="B278" s="1">
        <f>DATE(_dat69[[#This Row],[Year]],_dat69[[#This Row],[Quarter]]*3-1,15)</f>
        <v>43511</v>
      </c>
      <c r="C278" s="2">
        <f>_dat69[[#This Row],[Year]]+(_dat69[[#This Row],[Quarter]]-1)/4+1/8</f>
        <v>2019.125</v>
      </c>
      <c r="D278" s="2">
        <f>_dat69[[#This Row],[DecDate]]^2</f>
        <v>4076865.765625</v>
      </c>
      <c r="E278">
        <v>1</v>
      </c>
      <c r="F278">
        <v>1609</v>
      </c>
      <c r="G278">
        <f>LN(_dat69[[#This Row],[Expenditure]])</f>
        <v>7.3833681469923835</v>
      </c>
      <c r="H278">
        <f>$P$40+_dat69[[#This Row],[DecDate]]*$P$41</f>
        <v>7.39478997469379</v>
      </c>
      <c r="I278" s="2">
        <f>$P$17+$P$18*_dat69[[#This Row],[DecDate]]+$P$19*_dat69[[#This Row],[DecDate^2]]</f>
        <v>7.3515804225924057</v>
      </c>
      <c r="J278" s="2">
        <f>_dat69[[#This Row],[LOG(Expenditure 69)]]-_dat69[[#This Row],[Quadratic Trend LOG]]</f>
        <v>3.178772439997779E-2</v>
      </c>
      <c r="K278" s="2">
        <f t="shared" si="4"/>
        <v>1.2470804257453238E-2</v>
      </c>
    </row>
    <row r="279" spans="1:11" x14ac:dyDescent="0.35">
      <c r="A279">
        <v>2019</v>
      </c>
      <c r="B279" s="1">
        <f>DATE(_dat69[[#This Row],[Year]],_dat69[[#This Row],[Quarter]]*3-1,15)</f>
        <v>43600</v>
      </c>
      <c r="C279" s="2">
        <f>_dat69[[#This Row],[Year]]+(_dat69[[#This Row],[Quarter]]-1)/4+1/8</f>
        <v>2019.375</v>
      </c>
      <c r="D279" s="2">
        <f>_dat69[[#This Row],[DecDate]]^2</f>
        <v>4077875.390625</v>
      </c>
      <c r="E279">
        <v>2</v>
      </c>
      <c r="F279">
        <v>1541</v>
      </c>
      <c r="G279">
        <f>LN(_dat69[[#This Row],[Expenditure]])</f>
        <v>7.3401868353201154</v>
      </c>
      <c r="H279">
        <f>$P$40+_dat69[[#This Row],[DecDate]]*$P$41</f>
        <v>7.396217714821498</v>
      </c>
      <c r="I279" s="2">
        <f>$P$17+$P$18*_dat69[[#This Row],[DecDate]]+$P$19*_dat69[[#This Row],[DecDate^2]]</f>
        <v>7.3519819881165915</v>
      </c>
      <c r="J279" s="2">
        <f>_dat69[[#This Row],[LOG(Expenditure 69)]]-_dat69[[#This Row],[Quadratic Trend LOG]]</f>
        <v>-1.1795152796476138E-2</v>
      </c>
      <c r="K279" s="2">
        <f t="shared" si="4"/>
        <v>2.8533452160610651E-3</v>
      </c>
    </row>
    <row r="280" spans="1:11" x14ac:dyDescent="0.35">
      <c r="A280">
        <v>2019</v>
      </c>
      <c r="B280" s="1">
        <f>DATE(_dat69[[#This Row],[Year]],_dat69[[#This Row],[Quarter]]*3-1,15)</f>
        <v>43692</v>
      </c>
      <c r="C280" s="2">
        <f>_dat69[[#This Row],[Year]]+(_dat69[[#This Row],[Quarter]]-1)/4+1/8</f>
        <v>2019.625</v>
      </c>
      <c r="D280" s="2">
        <f>_dat69[[#This Row],[DecDate]]^2</f>
        <v>4078885.140625</v>
      </c>
      <c r="E280">
        <v>3</v>
      </c>
      <c r="F280">
        <v>1588</v>
      </c>
      <c r="G280">
        <f>LN(_dat69[[#This Row],[Expenditure]])</f>
        <v>7.3702306418070807</v>
      </c>
      <c r="H280">
        <f>$P$40+_dat69[[#This Row],[DecDate]]*$P$41</f>
        <v>7.3976454549492061</v>
      </c>
      <c r="I280" s="2">
        <f>$P$17+$P$18*_dat69[[#This Row],[DecDate]]+$P$19*_dat69[[#This Row],[DecDate^2]]</f>
        <v>7.3523759523474155</v>
      </c>
      <c r="J280" s="2">
        <f>_dat69[[#This Row],[LOG(Expenditure 69)]]-_dat69[[#This Row],[Quadratic Trend LOG]]</f>
        <v>1.7854689459665174E-2</v>
      </c>
      <c r="K280" s="2">
        <f t="shared" si="4"/>
        <v>3.1102113675613554E-3</v>
      </c>
    </row>
    <row r="281" spans="1:11" x14ac:dyDescent="0.35">
      <c r="A281">
        <v>2019</v>
      </c>
      <c r="B281" s="1">
        <f>DATE(_dat69[[#This Row],[Year]],_dat69[[#This Row],[Quarter]]*3-1,15)</f>
        <v>43784</v>
      </c>
      <c r="C281" s="2">
        <f>_dat69[[#This Row],[Year]]+(_dat69[[#This Row],[Quarter]]-1)/4+1/8</f>
        <v>2019.875</v>
      </c>
      <c r="D281" s="2">
        <f>_dat69[[#This Row],[DecDate]]^2</f>
        <v>4079895.015625</v>
      </c>
      <c r="E281">
        <v>4</v>
      </c>
      <c r="F281">
        <v>1548</v>
      </c>
      <c r="G281">
        <f>LN(_dat69[[#This Row],[Expenditure]])</f>
        <v>7.3447190541496727</v>
      </c>
      <c r="H281">
        <f>$P$40+_dat69[[#This Row],[DecDate]]*$P$41</f>
        <v>7.3990731950769142</v>
      </c>
      <c r="I281" s="2">
        <f>$P$17+$P$18*_dat69[[#This Row],[DecDate]]+$P$19*_dat69[[#This Row],[DecDate^2]]</f>
        <v>7.352762315284906</v>
      </c>
      <c r="J281" s="2">
        <f>_dat69[[#This Row],[LOG(Expenditure 69)]]-_dat69[[#This Row],[Quadratic Trend LOG]]</f>
        <v>-8.0432611352332373E-3</v>
      </c>
      <c r="K281" s="2">
        <f t="shared" si="4"/>
        <v>-1.0773080066426032E-2</v>
      </c>
    </row>
    <row r="282" spans="1:11" x14ac:dyDescent="0.35">
      <c r="A282">
        <v>2020</v>
      </c>
      <c r="B282" s="1">
        <f>DATE(_dat69[[#This Row],[Year]],_dat69[[#This Row],[Quarter]]*3-1,15)</f>
        <v>43876</v>
      </c>
      <c r="C282" s="2">
        <f>_dat69[[#This Row],[Year]]+(_dat69[[#This Row],[Quarter]]-1)/4+1/8</f>
        <v>2020.125</v>
      </c>
      <c r="D282" s="2">
        <f>_dat69[[#This Row],[DecDate]]^2</f>
        <v>4080905.015625</v>
      </c>
      <c r="E282">
        <v>1</v>
      </c>
      <c r="F282">
        <v>1539</v>
      </c>
      <c r="G282">
        <f>LN(_dat69[[#This Row],[Expenditure]])</f>
        <v>7.3388881338388794</v>
      </c>
      <c r="H282">
        <f>$P$40+_dat69[[#This Row],[DecDate]]*$P$41</f>
        <v>7.4005009352046223</v>
      </c>
      <c r="I282" s="2">
        <f>$P$17+$P$18*_dat69[[#This Row],[DecDate]]+$P$19*_dat69[[#This Row],[DecDate^2]]</f>
        <v>7.3531410769290062</v>
      </c>
      <c r="J282" s="2">
        <f>_dat69[[#This Row],[LOG(Expenditure 69)]]-_dat69[[#This Row],[Quadratic Trend LOG]]</f>
        <v>-1.4252943090126813E-2</v>
      </c>
      <c r="K282" s="2">
        <f t="shared" si="4"/>
        <v>-8.0609881797157005E-3</v>
      </c>
    </row>
    <row r="283" spans="1:11" x14ac:dyDescent="0.35">
      <c r="A283">
        <v>2020</v>
      </c>
      <c r="B283" s="1">
        <f>DATE(_dat69[[#This Row],[Year]],_dat69[[#This Row],[Quarter]]*3-1,15)</f>
        <v>43966</v>
      </c>
      <c r="C283" s="2">
        <f>_dat69[[#This Row],[Year]]+(_dat69[[#This Row],[Quarter]]-1)/4+1/8</f>
        <v>2020.375</v>
      </c>
      <c r="D283" s="2">
        <f>_dat69[[#This Row],[DecDate]]^2</f>
        <v>4081915.140625</v>
      </c>
      <c r="E283">
        <v>2</v>
      </c>
      <c r="F283">
        <v>1504</v>
      </c>
      <c r="G283">
        <f>LN(_dat69[[#This Row],[Expenditure]])</f>
        <v>7.3158835045097854</v>
      </c>
      <c r="H283">
        <f>$P$40+_dat69[[#This Row],[DecDate]]*$P$41</f>
        <v>7.4019286753323303</v>
      </c>
      <c r="I283" s="2">
        <f>$P$17+$P$18*_dat69[[#This Row],[DecDate]]+$P$19*_dat69[[#This Row],[DecDate^2]]</f>
        <v>7.3535122372797446</v>
      </c>
      <c r="J283" s="2">
        <f>_dat69[[#This Row],[LOG(Expenditure 69)]]-_dat69[[#This Row],[Quadratic Trend LOG]]</f>
        <v>-3.762873276995915E-2</v>
      </c>
      <c r="K283" s="2">
        <f t="shared" si="4"/>
        <v>-1.9567710427071283E-2</v>
      </c>
    </row>
    <row r="284" spans="1:11" x14ac:dyDescent="0.35">
      <c r="A284">
        <v>2020</v>
      </c>
      <c r="B284" s="1">
        <f>DATE(_dat69[[#This Row],[Year]],_dat69[[#This Row],[Quarter]]*3-1,15)</f>
        <v>44058</v>
      </c>
      <c r="C284" s="2">
        <f>_dat69[[#This Row],[Year]]+(_dat69[[#This Row],[Quarter]]-1)/4+1/8</f>
        <v>2020.625</v>
      </c>
      <c r="D284" s="2">
        <f>_dat69[[#This Row],[DecDate]]^2</f>
        <v>4082925.390625</v>
      </c>
      <c r="E284">
        <v>3</v>
      </c>
      <c r="F284">
        <v>1565</v>
      </c>
      <c r="G284">
        <f>LN(_dat69[[#This Row],[Expenditure]])</f>
        <v>7.3556411029742534</v>
      </c>
      <c r="H284">
        <f>$P$40+_dat69[[#This Row],[DecDate]]*$P$41</f>
        <v>7.4033564154600366</v>
      </c>
      <c r="I284" s="2">
        <f>$P$17+$P$18*_dat69[[#This Row],[DecDate]]+$P$19*_dat69[[#This Row],[DecDate^2]]</f>
        <v>7.3538757963371779</v>
      </c>
      <c r="J284" s="2">
        <f>_dat69[[#This Row],[LOG(Expenditure 69)]]-_dat69[[#This Row],[Quadratic Trend LOG]]</f>
        <v>1.7653066370755255E-3</v>
      </c>
      <c r="K284" s="2">
        <f t="shared" si="4"/>
        <v>-2.2448822750030795E-2</v>
      </c>
    </row>
    <row r="285" spans="1:11" x14ac:dyDescent="0.35">
      <c r="A285">
        <v>2020</v>
      </c>
      <c r="B285" s="1">
        <f>DATE(_dat69[[#This Row],[Year]],_dat69[[#This Row],[Quarter]]*3-1,15)</f>
        <v>44150</v>
      </c>
      <c r="C285" s="2">
        <f>_dat69[[#This Row],[Year]]+(_dat69[[#This Row],[Quarter]]-1)/4+1/8</f>
        <v>2020.875</v>
      </c>
      <c r="D285" s="2">
        <f>_dat69[[#This Row],[DecDate]]^2</f>
        <v>4083935.765625</v>
      </c>
      <c r="E285">
        <v>4</v>
      </c>
      <c r="F285">
        <v>1502</v>
      </c>
      <c r="G285">
        <f>LN(_dat69[[#This Row],[Expenditure]])</f>
        <v>7.3145528323240798</v>
      </c>
      <c r="H285">
        <f>$P$40+_dat69[[#This Row],[DecDate]]*$P$41</f>
        <v>7.4047841555877447</v>
      </c>
      <c r="I285" s="2">
        <f>$P$17+$P$18*_dat69[[#This Row],[DecDate]]+$P$19*_dat69[[#This Row],[DecDate^2]]</f>
        <v>7.3542317541011926</v>
      </c>
      <c r="J285" s="2">
        <f>_dat69[[#This Row],[LOG(Expenditure 69)]]-_dat69[[#This Row],[Quadratic Trend LOG]]</f>
        <v>-3.9678921777112741E-2</v>
      </c>
      <c r="K285" s="2">
        <f t="shared" si="4"/>
        <v>-2.5180782636665455E-2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0133-6AA4-42ED-B065-633B2E4451E5}">
  <dimension ref="A1:AN285"/>
  <sheetViews>
    <sheetView topLeftCell="B4" workbookViewId="0">
      <selection activeCell="N2" sqref="N2"/>
    </sheetView>
  </sheetViews>
  <sheetFormatPr defaultRowHeight="14.5" x14ac:dyDescent="0.35"/>
  <cols>
    <col min="1" max="1" width="6.81640625" bestFit="1" customWidth="1"/>
    <col min="2" max="2" width="12.1796875" customWidth="1"/>
    <col min="3" max="4" width="14.6328125" style="2" customWidth="1"/>
    <col min="5" max="5" width="13" customWidth="1"/>
    <col min="6" max="6" width="17.453125" customWidth="1"/>
    <col min="7" max="7" width="18.26953125" customWidth="1"/>
    <col min="8" max="8" width="23.36328125" customWidth="1"/>
    <col min="9" max="9" width="13.453125" customWidth="1"/>
    <col min="10" max="10" width="16.90625" customWidth="1"/>
    <col min="11" max="12" width="17.6328125" customWidth="1"/>
    <col min="13" max="17" width="20.90625" customWidth="1"/>
    <col min="18" max="19" width="15.453125" customWidth="1"/>
  </cols>
  <sheetData>
    <row r="1" spans="1:40" x14ac:dyDescent="0.35">
      <c r="A1" t="s">
        <v>0</v>
      </c>
      <c r="B1" t="s">
        <v>3</v>
      </c>
      <c r="C1" s="2" t="s">
        <v>8</v>
      </c>
      <c r="D1" s="2" t="s">
        <v>34</v>
      </c>
      <c r="E1" t="s">
        <v>1</v>
      </c>
      <c r="F1" t="s">
        <v>2</v>
      </c>
      <c r="G1" t="s">
        <v>43</v>
      </c>
      <c r="H1" t="s">
        <v>4</v>
      </c>
      <c r="I1" t="s">
        <v>5</v>
      </c>
      <c r="J1" t="s">
        <v>6</v>
      </c>
      <c r="K1" t="s">
        <v>7</v>
      </c>
      <c r="L1" t="s">
        <v>36</v>
      </c>
      <c r="M1" t="s">
        <v>37</v>
      </c>
      <c r="N1" t="s">
        <v>38</v>
      </c>
      <c r="O1" t="s">
        <v>45</v>
      </c>
      <c r="P1" t="s">
        <v>39</v>
      </c>
      <c r="Q1" t="s">
        <v>40</v>
      </c>
      <c r="R1" t="s">
        <v>41</v>
      </c>
      <c r="S1" t="s">
        <v>42</v>
      </c>
      <c r="V1" t="s">
        <v>9</v>
      </c>
      <c r="AF1" t="s">
        <v>9</v>
      </c>
    </row>
    <row r="2" spans="1:40" ht="15" thickBot="1" x14ac:dyDescent="0.4">
      <c r="A2">
        <v>1950</v>
      </c>
      <c r="B2" s="1">
        <f>DATE(_dat80[[#This Row],[Year]],_dat80[[#This Row],[Quarter]]*3-1,15)</f>
        <v>18309</v>
      </c>
      <c r="C2" s="2">
        <f>_dat80[[#This Row],[Year]]+(_dat80[[#This Row],[Quarter]]-1)/4+1/8</f>
        <v>1950.125</v>
      </c>
      <c r="D2" s="2">
        <f>_dat80[[#This Row],[DecDate]]^2</f>
        <v>3802987.515625</v>
      </c>
      <c r="E2">
        <v>1</v>
      </c>
      <c r="F2">
        <v>844</v>
      </c>
      <c r="G2">
        <f>LN(_dat80[[#This Row],[Expenditure]])</f>
        <v>6.7381524945959574</v>
      </c>
      <c r="J2" s="2">
        <f>$W$17+$W$18*_dat80[[#This Row],[DecDate]]</f>
        <v>792.76167531504871</v>
      </c>
      <c r="K2" s="2">
        <f>$W$40+$W$41*_dat80[[#This Row],[DecDate]]+_dat80[[#This Row],[DecDate^2]]*$W$42</f>
        <v>816.62205751995498</v>
      </c>
      <c r="L2" s="2">
        <f>$AG$17+_dat80[[#This Row],[DecDate]]*$AG$18</f>
        <v>6.7025075253865625</v>
      </c>
      <c r="M2" s="2">
        <f>$AG$40+$AG$41*_dat80[[#This Row],[DecDate]]+_dat80[[#This Row],[DecDate^2]]*$AG$42</f>
        <v>6.7031122753431855</v>
      </c>
      <c r="N2" s="2">
        <f>_dat80[[#This Row],[LOG(Expenditure 80)]]-_dat80[[#This Row],[Linear Trend LOG]]</f>
        <v>3.5644969209394972E-2</v>
      </c>
      <c r="O2" s="2"/>
      <c r="P2" s="2"/>
      <c r="Q2" s="2"/>
      <c r="R2" s="2">
        <f>AVERAGEIF(_dat80[Quarter],_dat80[[#This Row],[Quarter]],_dat80[High Frequency])</f>
        <v>3.3009459236017259E-2</v>
      </c>
      <c r="S2" s="2">
        <f>_dat80[[#This Row],[S0]]-AVERAGE($R$2:$R$5)</f>
        <v>3.2954640972867329E-2</v>
      </c>
    </row>
    <row r="3" spans="1:40" x14ac:dyDescent="0.35">
      <c r="A3">
        <v>1950</v>
      </c>
      <c r="B3" s="1">
        <f>DATE(_dat80[[#This Row],[Year]],_dat80[[#This Row],[Quarter]]*3-1,15)</f>
        <v>18398</v>
      </c>
      <c r="C3" s="2">
        <f>_dat80[[#This Row],[Year]]+(_dat80[[#This Row],[Quarter]]-1)/4+1/8</f>
        <v>1950.375</v>
      </c>
      <c r="D3" s="2">
        <f>_dat80[[#This Row],[DecDate]]^2</f>
        <v>3803962.640625</v>
      </c>
      <c r="E3">
        <v>2</v>
      </c>
      <c r="F3">
        <v>799</v>
      </c>
      <c r="G3">
        <f>LN(_dat80[[#This Row],[Expenditure]])</f>
        <v>6.6833609457662746</v>
      </c>
      <c r="H3">
        <f>_dat80[[#This Row],[LOG(Expenditure 80)]]-G2</f>
        <v>-5.4791548829682846E-2</v>
      </c>
      <c r="I3">
        <f>(1+(_dat80[[#This Row],[Expenditure]]-F2)/F2)^12-1</f>
        <v>-0.48185418798448232</v>
      </c>
      <c r="J3" s="2">
        <f>$W$17+$W$18*_dat80[[#This Row],[DecDate]]</f>
        <v>794.68589479970979</v>
      </c>
      <c r="K3" s="2">
        <f>$W$40+$W$41*_dat80[[#This Row],[DecDate]]+_dat80[[#This Row],[DecDate^2]]*$W$42</f>
        <v>818.04040317694307</v>
      </c>
      <c r="L3" s="2">
        <f>$AG$17+_dat80[[#This Row],[DecDate]]*$AG$18</f>
        <v>6.7043228995589397</v>
      </c>
      <c r="M3" s="2">
        <f>$AG$40+$AG$41*_dat80[[#This Row],[DecDate]]+_dat80[[#This Row],[DecDate^2]]*$AG$42</f>
        <v>6.7049148279617121</v>
      </c>
      <c r="N3" s="2">
        <f>_dat80[[#This Row],[LOG(Expenditure 80)]]-_dat80[[#This Row],[Linear Trend LOG]]</f>
        <v>-2.0961953792665078E-2</v>
      </c>
      <c r="O3" s="2"/>
      <c r="P3" s="2"/>
      <c r="Q3" s="2"/>
      <c r="R3" s="2">
        <f>AVERAGEIF(_dat80[Quarter],_dat80[[#This Row],[Quarter]],_dat80[High Frequency])</f>
        <v>-7.1142253495101353E-3</v>
      </c>
      <c r="S3" s="2">
        <f>_dat80[[#This Row],[S0]]-AVERAGE($R$2:$R$5)</f>
        <v>-7.1690436126600685E-3</v>
      </c>
      <c r="V3" s="6" t="s">
        <v>10</v>
      </c>
      <c r="W3" s="6"/>
      <c r="AF3" s="6" t="s">
        <v>10</v>
      </c>
      <c r="AG3" s="6"/>
    </row>
    <row r="4" spans="1:40" x14ac:dyDescent="0.35">
      <c r="A4">
        <v>1950</v>
      </c>
      <c r="B4" s="1">
        <f>DATE(_dat80[[#This Row],[Year]],_dat80[[#This Row],[Quarter]]*3-1,15)</f>
        <v>18490</v>
      </c>
      <c r="C4" s="2">
        <f>_dat80[[#This Row],[Year]]+(_dat80[[#This Row],[Quarter]]-1)/4+1/8</f>
        <v>1950.625</v>
      </c>
      <c r="D4" s="2">
        <f>_dat80[[#This Row],[DecDate]]^2</f>
        <v>3804937.890625</v>
      </c>
      <c r="E4">
        <v>3</v>
      </c>
      <c r="F4">
        <v>824</v>
      </c>
      <c r="G4">
        <f>LN(_dat80[[#This Row],[Expenditure]])</f>
        <v>6.7141705299094721</v>
      </c>
      <c r="H4">
        <f>_dat80[[#This Row],[LOG(Expenditure 80)]]-G3</f>
        <v>3.0809584143197455E-2</v>
      </c>
      <c r="I4">
        <f>(1+(_dat80[[#This Row],[Expenditure]]-F3)/F3)^12-1</f>
        <v>0.44732208315428612</v>
      </c>
      <c r="J4" s="2">
        <f>$W$17+$W$18*_dat80[[#This Row],[DecDate]]</f>
        <v>796.61011428436905</v>
      </c>
      <c r="K4" s="2">
        <f>$W$40+$W$41*_dat80[[#This Row],[DecDate]]+_dat80[[#This Row],[DecDate^2]]*$W$42</f>
        <v>819.46233659159043</v>
      </c>
      <c r="L4" s="2">
        <f>$AG$17+_dat80[[#This Row],[DecDate]]*$AG$18</f>
        <v>6.7061382737313169</v>
      </c>
      <c r="M4" s="2">
        <f>$AG$40+$AG$41*_dat80[[#This Row],[DecDate]]+_dat80[[#This Row],[DecDate^2]]*$AG$42</f>
        <v>6.7067174715132438</v>
      </c>
      <c r="N4" s="2">
        <f>_dat80[[#This Row],[LOG(Expenditure 80)]]-_dat80[[#This Row],[Linear Trend LOG]]</f>
        <v>8.0322561781551727E-3</v>
      </c>
      <c r="O4" s="2">
        <f>AVERAGE(N2:N6)</f>
        <v>4.3343996214545658E-3</v>
      </c>
      <c r="P4" s="2">
        <f>_dat80[[#This Row],[Cycle 80]]+_dat80[[#This Row],[Linear Trend LOG]]</f>
        <v>6.7104726733527711</v>
      </c>
      <c r="Q4" s="2">
        <f>_dat80[[#This Row],[Detrend(Linear)]]-_dat80[[#This Row],[Cycle 80]]</f>
        <v>3.6978565567006069E-3</v>
      </c>
      <c r="R4" s="2">
        <f>AVERAGEIF(_dat80[Quarter],_dat80[[#This Row],[Quarter]],_dat80[High Frequency])</f>
        <v>3.946848336706609E-3</v>
      </c>
      <c r="S4" s="2">
        <f>_dat80[[#This Row],[S0]]-AVERAGE($R$2:$R$5)</f>
        <v>3.8920300735566758E-3</v>
      </c>
      <c r="V4" s="3" t="s">
        <v>11</v>
      </c>
      <c r="W4" s="3">
        <v>0.98331129803585082</v>
      </c>
      <c r="AF4" s="3" t="s">
        <v>11</v>
      </c>
      <c r="AG4" s="3">
        <v>0.98484507307304581</v>
      </c>
    </row>
    <row r="5" spans="1:40" x14ac:dyDescent="0.35">
      <c r="A5">
        <v>1950</v>
      </c>
      <c r="B5" s="1">
        <f>DATE(_dat80[[#This Row],[Year]],_dat80[[#This Row],[Quarter]]*3-1,15)</f>
        <v>18582</v>
      </c>
      <c r="C5" s="2">
        <f>_dat80[[#This Row],[Year]]+(_dat80[[#This Row],[Quarter]]-1)/4+1/8</f>
        <v>1950.875</v>
      </c>
      <c r="D5" s="2">
        <f>_dat80[[#This Row],[DecDate]]^2</f>
        <v>3805913.265625</v>
      </c>
      <c r="E5">
        <v>4</v>
      </c>
      <c r="F5">
        <v>784</v>
      </c>
      <c r="G5">
        <f>LN(_dat80[[#This Row],[Expenditure]])</f>
        <v>6.6644090203504076</v>
      </c>
      <c r="H5">
        <f>_dat80[[#This Row],[LOG(Expenditure 80)]]-G4</f>
        <v>-4.9761509559064443E-2</v>
      </c>
      <c r="I5">
        <f>(1+(_dat80[[#This Row],[Expenditure]]-F4)/F4)^12-1</f>
        <v>-0.44961547832146331</v>
      </c>
      <c r="J5" s="2">
        <f>$W$17+$W$18*_dat80[[#This Row],[DecDate]]</f>
        <v>798.53433376902831</v>
      </c>
      <c r="K5" s="2">
        <f>$W$40+$W$41*_dat80[[#This Row],[DecDate]]+_dat80[[#This Row],[DecDate^2]]*$W$42</f>
        <v>820.88785776388249</v>
      </c>
      <c r="L5" s="2">
        <f>$AG$17+_dat80[[#This Row],[DecDate]]*$AG$18</f>
        <v>6.7079536479036923</v>
      </c>
      <c r="M5" s="2">
        <f>$AG$40+$AG$41*_dat80[[#This Row],[DecDate]]+_dat80[[#This Row],[DecDate^2]]*$AG$42</f>
        <v>6.7085202059977824</v>
      </c>
      <c r="N5" s="2">
        <f>_dat80[[#This Row],[LOG(Expenditure 80)]]-_dat80[[#This Row],[Linear Trend LOG]]</f>
        <v>-4.3544627553284698E-2</v>
      </c>
      <c r="O5" s="2">
        <f>AVERAGE(N3:N7)</f>
        <v>-5.7046239368169441E-3</v>
      </c>
      <c r="P5" s="2">
        <f>_dat80[[#This Row],[Cycle 80]]+_dat80[[#This Row],[Linear Trend LOG]]</f>
        <v>6.7022490239668757</v>
      </c>
      <c r="Q5" s="2">
        <f>_dat80[[#This Row],[Detrend(Linear)]]-_dat80[[#This Row],[Cycle 80]]</f>
        <v>-3.7840003616467756E-2</v>
      </c>
      <c r="R5" s="2">
        <f>AVERAGEIF(_dat80[Quarter],_dat80[[#This Row],[Quarter]],_dat80[High Frequency])</f>
        <v>-2.9622809170614002E-2</v>
      </c>
      <c r="S5" s="2">
        <f>_dat80[[#This Row],[S0]]-AVERAGE($R$2:$R$5)</f>
        <v>-2.9677627433763936E-2</v>
      </c>
      <c r="V5" s="3" t="s">
        <v>12</v>
      </c>
      <c r="W5" s="3">
        <v>0.96690110884494984</v>
      </c>
      <c r="AF5" s="3" t="s">
        <v>12</v>
      </c>
      <c r="AG5" s="3">
        <v>0.96991981795625293</v>
      </c>
    </row>
    <row r="6" spans="1:40" x14ac:dyDescent="0.35">
      <c r="A6">
        <v>1951</v>
      </c>
      <c r="B6" s="1">
        <f>DATE(_dat80[[#This Row],[Year]],_dat80[[#This Row],[Quarter]]*3-1,15)</f>
        <v>18674</v>
      </c>
      <c r="C6" s="2">
        <f>_dat80[[#This Row],[Year]]+(_dat80[[#This Row],[Quarter]]-1)/4+1/8</f>
        <v>1951.125</v>
      </c>
      <c r="D6" s="2">
        <f>_dat80[[#This Row],[DecDate]]^2</f>
        <v>3806888.765625</v>
      </c>
      <c r="E6">
        <v>1</v>
      </c>
      <c r="F6">
        <v>856</v>
      </c>
      <c r="G6">
        <f>LN(_dat80[[#This Row],[Expenditure]])</f>
        <v>6.752270376141742</v>
      </c>
      <c r="H6">
        <f>_dat80[[#This Row],[LOG(Expenditure 80)]]-G5</f>
        <v>8.7861355791334361E-2</v>
      </c>
      <c r="I6">
        <f>(1+(_dat80[[#This Row],[Expenditure]]-F5)/F5)^12-1</f>
        <v>1.8700695688524229</v>
      </c>
      <c r="J6" s="2">
        <f>$W$17+$W$18*_dat80[[#This Row],[DecDate]]</f>
        <v>800.45855325368757</v>
      </c>
      <c r="K6" s="2">
        <f>$W$40+$W$41*_dat80[[#This Row],[DecDate]]+_dat80[[#This Row],[DecDate^2]]*$W$42</f>
        <v>822.31696669377561</v>
      </c>
      <c r="L6" s="2">
        <f>$AG$17+_dat80[[#This Row],[DecDate]]*$AG$18</f>
        <v>6.7097690220760695</v>
      </c>
      <c r="M6" s="2">
        <f>$AG$40+$AG$41*_dat80[[#This Row],[DecDate]]+_dat80[[#This Row],[DecDate^2]]*$AG$42</f>
        <v>6.7103230314153262</v>
      </c>
      <c r="N6" s="2">
        <f>_dat80[[#This Row],[LOG(Expenditure 80)]]-_dat80[[#This Row],[Linear Trend LOG]]</f>
        <v>4.2501354065672459E-2</v>
      </c>
      <c r="O6" s="2">
        <f t="shared" ref="O6:O69" si="0">AVERAGE(N4:N8)</f>
        <v>1.533535354491633E-3</v>
      </c>
      <c r="P6" s="2">
        <f>_dat80[[#This Row],[Cycle 80]]+_dat80[[#This Row],[Linear Trend LOG]]</f>
        <v>6.7113025574305611</v>
      </c>
      <c r="Q6" s="2">
        <f>_dat80[[#This Row],[Detrend(Linear)]]-_dat80[[#This Row],[Cycle 80]]</f>
        <v>4.0967818711180826E-2</v>
      </c>
      <c r="R6" s="2">
        <f>AVERAGEIF(_dat80[Quarter],_dat80[[#This Row],[Quarter]],_dat80[High Frequency])</f>
        <v>3.3009459236017259E-2</v>
      </c>
      <c r="S6" s="2">
        <f>_dat80[[#This Row],[S0]]-AVERAGE($R$2:$R$5)</f>
        <v>3.2954640972867329E-2</v>
      </c>
      <c r="V6" s="3" t="s">
        <v>13</v>
      </c>
      <c r="W6" s="3">
        <v>0.96678373689049946</v>
      </c>
      <c r="AF6" s="3" t="s">
        <v>13</v>
      </c>
      <c r="AG6" s="3">
        <v>0.96981315064404117</v>
      </c>
    </row>
    <row r="7" spans="1:40" x14ac:dyDescent="0.35">
      <c r="A7">
        <v>1951</v>
      </c>
      <c r="B7" s="1">
        <f>DATE(_dat80[[#This Row],[Year]],_dat80[[#This Row],[Quarter]]*3-1,15)</f>
        <v>18763</v>
      </c>
      <c r="C7" s="2">
        <f>_dat80[[#This Row],[Year]]+(_dat80[[#This Row],[Quarter]]-1)/4+1/8</f>
        <v>1951.375</v>
      </c>
      <c r="D7" s="2">
        <f>_dat80[[#This Row],[DecDate]]^2</f>
        <v>3807864.390625</v>
      </c>
      <c r="E7">
        <v>2</v>
      </c>
      <c r="F7">
        <v>810</v>
      </c>
      <c r="G7">
        <f>LN(_dat80[[#This Row],[Expenditure]])</f>
        <v>6.6970342476664841</v>
      </c>
      <c r="H7">
        <f>_dat80[[#This Row],[LOG(Expenditure 80)]]-G6</f>
        <v>-5.5236128475257829E-2</v>
      </c>
      <c r="I7">
        <f>(1+(_dat80[[#This Row],[Expenditure]]-F6)/F6)^12-1</f>
        <v>-0.48461111238827648</v>
      </c>
      <c r="J7" s="2">
        <f>$W$17+$W$18*_dat80[[#This Row],[DecDate]]</f>
        <v>802.38277273834683</v>
      </c>
      <c r="K7" s="2">
        <f>$W$40+$W$41*_dat80[[#This Row],[DecDate]]+_dat80[[#This Row],[DecDate^2]]*$W$42</f>
        <v>823.7496633813571</v>
      </c>
      <c r="L7" s="2">
        <f>$AG$17+_dat80[[#This Row],[DecDate]]*$AG$18</f>
        <v>6.7115843962484467</v>
      </c>
      <c r="M7" s="2">
        <f>$AG$40+$AG$41*_dat80[[#This Row],[DecDate]]+_dat80[[#This Row],[DecDate^2]]*$AG$42</f>
        <v>6.7121259477658759</v>
      </c>
      <c r="N7" s="2">
        <f>_dat80[[#This Row],[LOG(Expenditure 80)]]-_dat80[[#This Row],[Linear Trend LOG]]</f>
        <v>-1.4550148581962574E-2</v>
      </c>
      <c r="O7" s="2">
        <f t="shared" si="0"/>
        <v>-9.4702951162986444E-3</v>
      </c>
      <c r="P7" s="2">
        <f>_dat80[[#This Row],[Cycle 80]]+_dat80[[#This Row],[Linear Trend LOG]]</f>
        <v>6.7021141011321479</v>
      </c>
      <c r="Q7" s="2">
        <f>_dat80[[#This Row],[Detrend(Linear)]]-_dat80[[#This Row],[Cycle 80]]</f>
        <v>-5.0798534656639298E-3</v>
      </c>
      <c r="R7" s="2">
        <f>AVERAGEIF(_dat80[Quarter],_dat80[[#This Row],[Quarter]],_dat80[High Frequency])</f>
        <v>-7.1142253495101353E-3</v>
      </c>
      <c r="S7" s="2">
        <f>_dat80[[#This Row],[S0]]-AVERAGE($R$2:$R$5)</f>
        <v>-7.1690436126600685E-3</v>
      </c>
      <c r="V7" s="3" t="s">
        <v>14</v>
      </c>
      <c r="W7" s="3">
        <v>29.290712888542714</v>
      </c>
      <c r="AF7" s="3" t="s">
        <v>14</v>
      </c>
      <c r="AG7" s="3">
        <v>2.6302565242303979E-2</v>
      </c>
    </row>
    <row r="8" spans="1:40" ht="15" thickBot="1" x14ac:dyDescent="0.4">
      <c r="A8">
        <v>1951</v>
      </c>
      <c r="B8" s="1">
        <f>DATE(_dat80[[#This Row],[Year]],_dat80[[#This Row],[Quarter]]*3-1,15)</f>
        <v>18855</v>
      </c>
      <c r="C8" s="2">
        <f>_dat80[[#This Row],[Year]]+(_dat80[[#This Row],[Quarter]]-1)/4+1/8</f>
        <v>1951.625</v>
      </c>
      <c r="D8" s="2">
        <f>_dat80[[#This Row],[DecDate]]^2</f>
        <v>3808840.140625</v>
      </c>
      <c r="E8">
        <v>3</v>
      </c>
      <c r="F8">
        <v>836</v>
      </c>
      <c r="G8">
        <f>LN(_dat80[[#This Row],[Expenditure]])</f>
        <v>6.7286286130847017</v>
      </c>
      <c r="H8">
        <f>_dat80[[#This Row],[LOG(Expenditure 80)]]-G7</f>
        <v>3.1594365418217585E-2</v>
      </c>
      <c r="I8">
        <f>(1+(_dat80[[#This Row],[Expenditure]]-F7)/F7)^12-1</f>
        <v>0.46101643962980576</v>
      </c>
      <c r="J8" s="2">
        <f>$W$17+$W$18*_dat80[[#This Row],[DecDate]]</f>
        <v>804.30699222300609</v>
      </c>
      <c r="K8" s="2">
        <f>$W$40+$W$41*_dat80[[#This Row],[DecDate]]+_dat80[[#This Row],[DecDate^2]]*$W$42</f>
        <v>825.18594782656874</v>
      </c>
      <c r="L8" s="2">
        <f>$AG$17+_dat80[[#This Row],[DecDate]]*$AG$18</f>
        <v>6.7133997704208239</v>
      </c>
      <c r="M8" s="2">
        <f>$AG$40+$AG$41*_dat80[[#This Row],[DecDate]]+_dat80[[#This Row],[DecDate^2]]*$AG$42</f>
        <v>6.7139289550494325</v>
      </c>
      <c r="N8" s="2">
        <f>_dat80[[#This Row],[LOG(Expenditure 80)]]-_dat80[[#This Row],[Linear Trend LOG]]</f>
        <v>1.5228842663877806E-2</v>
      </c>
      <c r="O8" s="2">
        <f t="shared" si="0"/>
        <v>8.6095083537300002E-3</v>
      </c>
      <c r="P8" s="2">
        <f>_dat80[[#This Row],[Cycle 80]]+_dat80[[#This Row],[Linear Trend LOG]]</f>
        <v>6.7220092787745536</v>
      </c>
      <c r="Q8" s="2">
        <f>_dat80[[#This Row],[Detrend(Linear)]]-_dat80[[#This Row],[Cycle 80]]</f>
        <v>6.619334310147806E-3</v>
      </c>
      <c r="R8" s="2">
        <f>AVERAGEIF(_dat80[Quarter],_dat80[[#This Row],[Quarter]],_dat80[High Frequency])</f>
        <v>3.946848336706609E-3</v>
      </c>
      <c r="S8" s="2">
        <f>_dat80[[#This Row],[S0]]-AVERAGE($R$2:$R$5)</f>
        <v>3.8920300735566758E-3</v>
      </c>
      <c r="V8" s="4" t="s">
        <v>15</v>
      </c>
      <c r="W8" s="4">
        <v>284</v>
      </c>
      <c r="AF8" s="4" t="s">
        <v>15</v>
      </c>
      <c r="AG8" s="4">
        <v>284</v>
      </c>
    </row>
    <row r="9" spans="1:40" x14ac:dyDescent="0.35">
      <c r="A9">
        <v>1951</v>
      </c>
      <c r="B9" s="1">
        <f>DATE(_dat80[[#This Row],[Year]],_dat80[[#This Row],[Quarter]]*3-1,15)</f>
        <v>18947</v>
      </c>
      <c r="C9" s="2">
        <f>_dat80[[#This Row],[Year]]+(_dat80[[#This Row],[Quarter]]-1)/4+1/8</f>
        <v>1951.875</v>
      </c>
      <c r="D9" s="2">
        <f>_dat80[[#This Row],[DecDate]]^2</f>
        <v>3809816.015625</v>
      </c>
      <c r="E9">
        <v>4</v>
      </c>
      <c r="F9">
        <v>787</v>
      </c>
      <c r="G9">
        <f>LN(_dat80[[#This Row],[Expenditure]])</f>
        <v>6.6682282484174031</v>
      </c>
      <c r="H9">
        <f>_dat80[[#This Row],[LOG(Expenditure 80)]]-G8</f>
        <v>-6.0400364667298589E-2</v>
      </c>
      <c r="I9">
        <f>(1+(_dat80[[#This Row],[Expenditure]]-F8)/F8)^12-1</f>
        <v>-0.51558067627098025</v>
      </c>
      <c r="J9" s="2">
        <f>$W$17+$W$18*_dat80[[#This Row],[DecDate]]</f>
        <v>806.23121170766535</v>
      </c>
      <c r="K9" s="2">
        <f>$W$40+$W$41*_dat80[[#This Row],[DecDate]]+_dat80[[#This Row],[DecDate^2]]*$W$42</f>
        <v>826.62582002942509</v>
      </c>
      <c r="L9" s="2">
        <f>$AG$17+_dat80[[#This Row],[DecDate]]*$AG$18</f>
        <v>6.7152151445931993</v>
      </c>
      <c r="M9" s="2">
        <f>$AG$40+$AG$41*_dat80[[#This Row],[DecDate]]+_dat80[[#This Row],[DecDate^2]]*$AG$42</f>
        <v>6.7157320532659943</v>
      </c>
      <c r="N9" s="2">
        <f>_dat80[[#This Row],[LOG(Expenditure 80)]]-_dat80[[#This Row],[Linear Trend LOG]]</f>
        <v>-4.6986896175796211E-2</v>
      </c>
      <c r="O9" s="2">
        <f t="shared" si="0"/>
        <v>-1.3118620357593258E-3</v>
      </c>
      <c r="P9" s="2">
        <f>_dat80[[#This Row],[Cycle 80]]+_dat80[[#This Row],[Linear Trend LOG]]</f>
        <v>6.7139032825574398</v>
      </c>
      <c r="Q9" s="2">
        <f>_dat80[[#This Row],[Detrend(Linear)]]-_dat80[[#This Row],[Cycle 80]]</f>
        <v>-4.5675034140036888E-2</v>
      </c>
      <c r="R9" s="2">
        <f>AVERAGEIF(_dat80[Quarter],_dat80[[#This Row],[Quarter]],_dat80[High Frequency])</f>
        <v>-2.9622809170614002E-2</v>
      </c>
      <c r="S9" s="2">
        <f>_dat80[[#This Row],[S0]]-AVERAGE($R$2:$R$5)</f>
        <v>-2.9677627433763936E-2</v>
      </c>
    </row>
    <row r="10" spans="1:40" ht="15" thickBot="1" x14ac:dyDescent="0.4">
      <c r="A10">
        <v>1952</v>
      </c>
      <c r="B10" s="1">
        <f>DATE(_dat80[[#This Row],[Year]],_dat80[[#This Row],[Quarter]]*3-1,15)</f>
        <v>19039</v>
      </c>
      <c r="C10" s="2">
        <f>_dat80[[#This Row],[Year]]+(_dat80[[#This Row],[Quarter]]-1)/4+1/8</f>
        <v>1952.125</v>
      </c>
      <c r="D10" s="2">
        <f>_dat80[[#This Row],[DecDate]]^2</f>
        <v>3810792.015625</v>
      </c>
      <c r="E10">
        <v>1</v>
      </c>
      <c r="F10">
        <v>866</v>
      </c>
      <c r="G10">
        <f>LN(_dat80[[#This Row],[Expenditure]])</f>
        <v>6.7638849085624351</v>
      </c>
      <c r="H10">
        <f>_dat80[[#This Row],[LOG(Expenditure 80)]]-G9</f>
        <v>9.5656660145031935E-2</v>
      </c>
      <c r="I10">
        <f>(1+(_dat80[[#This Row],[Expenditure]]-F9)/F9)^12-1</f>
        <v>2.1515043861641723</v>
      </c>
      <c r="J10" s="2">
        <f>$W$17+$W$18*_dat80[[#This Row],[DecDate]]</f>
        <v>808.15543119232461</v>
      </c>
      <c r="K10" s="2">
        <f>$W$40+$W$41*_dat80[[#This Row],[DecDate]]+_dat80[[#This Row],[DecDate^2]]*$W$42</f>
        <v>828.06927998989704</v>
      </c>
      <c r="L10" s="2">
        <f>$AG$17+_dat80[[#This Row],[DecDate]]*$AG$18</f>
        <v>6.7170305187655766</v>
      </c>
      <c r="M10" s="2">
        <f>$AG$40+$AG$41*_dat80[[#This Row],[DecDate]]+_dat80[[#This Row],[DecDate^2]]*$AG$42</f>
        <v>6.7175352424155639</v>
      </c>
      <c r="N10" s="2">
        <f>_dat80[[#This Row],[LOG(Expenditure 80)]]-_dat80[[#This Row],[Linear Trend LOG]]</f>
        <v>4.685438979685852E-2</v>
      </c>
      <c r="O10" s="2">
        <f t="shared" si="0"/>
        <v>4.6219171070326585E-3</v>
      </c>
      <c r="P10" s="2">
        <f>_dat80[[#This Row],[Cycle 80]]+_dat80[[#This Row],[Linear Trend LOG]]</f>
        <v>6.7216524358726089</v>
      </c>
      <c r="Q10" s="2">
        <f>_dat80[[#This Row],[Detrend(Linear)]]-_dat80[[#This Row],[Cycle 80]]</f>
        <v>4.2232472689825863E-2</v>
      </c>
      <c r="R10" s="2">
        <f>AVERAGEIF(_dat80[Quarter],_dat80[[#This Row],[Quarter]],_dat80[High Frequency])</f>
        <v>3.3009459236017259E-2</v>
      </c>
      <c r="S10" s="2">
        <f>_dat80[[#This Row],[S0]]-AVERAGE($R$2:$R$5)</f>
        <v>3.2954640972867329E-2</v>
      </c>
      <c r="V10" t="s">
        <v>16</v>
      </c>
      <c r="AF10" t="s">
        <v>16</v>
      </c>
    </row>
    <row r="11" spans="1:40" x14ac:dyDescent="0.35">
      <c r="A11">
        <v>1952</v>
      </c>
      <c r="B11" s="1">
        <f>DATE(_dat80[[#This Row],[Year]],_dat80[[#This Row],[Quarter]]*3-1,15)</f>
        <v>19129</v>
      </c>
      <c r="C11" s="2">
        <f>_dat80[[#This Row],[Year]]+(_dat80[[#This Row],[Quarter]]-1)/4+1/8</f>
        <v>1952.375</v>
      </c>
      <c r="D11" s="2">
        <f>_dat80[[#This Row],[DecDate]]^2</f>
        <v>3811768.140625</v>
      </c>
      <c r="E11">
        <v>2</v>
      </c>
      <c r="F11">
        <v>822</v>
      </c>
      <c r="G11">
        <f>LN(_dat80[[#This Row],[Expenditure]])</f>
        <v>6.7117403950561796</v>
      </c>
      <c r="H11">
        <f>_dat80[[#This Row],[LOG(Expenditure 80)]]-G10</f>
        <v>-5.2144513506255485E-2</v>
      </c>
      <c r="I11">
        <f>(1+(_dat80[[#This Row],[Expenditure]]-F10)/F10)^12-1</f>
        <v>-0.46513139590603059</v>
      </c>
      <c r="J11" s="2">
        <f>$W$17+$W$18*_dat80[[#This Row],[DecDate]]</f>
        <v>810.07965067698569</v>
      </c>
      <c r="K11" s="2">
        <f>$W$40+$W$41*_dat80[[#This Row],[DecDate]]+_dat80[[#This Row],[DecDate^2]]*$W$42</f>
        <v>829.51632770804281</v>
      </c>
      <c r="L11" s="2">
        <f>$AG$17+_dat80[[#This Row],[DecDate]]*$AG$18</f>
        <v>6.7188458929379538</v>
      </c>
      <c r="M11" s="2">
        <f>$AG$40+$AG$41*_dat80[[#This Row],[DecDate]]+_dat80[[#This Row],[DecDate^2]]*$AG$42</f>
        <v>6.7193385224981377</v>
      </c>
      <c r="N11" s="2">
        <f>_dat80[[#This Row],[LOG(Expenditure 80)]]-_dat80[[#This Row],[Linear Trend LOG]]</f>
        <v>-7.1054978817741699E-3</v>
      </c>
      <c r="O11" s="2">
        <f t="shared" si="0"/>
        <v>-6.2469905290292614E-3</v>
      </c>
      <c r="P11" s="2">
        <f>_dat80[[#This Row],[Cycle 80]]+_dat80[[#This Row],[Linear Trend LOG]]</f>
        <v>6.7125989024089243</v>
      </c>
      <c r="Q11" s="2">
        <f>_dat80[[#This Row],[Detrend(Linear)]]-_dat80[[#This Row],[Cycle 80]]</f>
        <v>-8.5850735274490848E-4</v>
      </c>
      <c r="R11" s="2">
        <f>AVERAGEIF(_dat80[Quarter],_dat80[[#This Row],[Quarter]],_dat80[High Frequency])</f>
        <v>-7.1142253495101353E-3</v>
      </c>
      <c r="S11" s="2">
        <f>_dat80[[#This Row],[S0]]-AVERAGE($R$2:$R$5)</f>
        <v>-7.1690436126600685E-3</v>
      </c>
      <c r="V11" s="5"/>
      <c r="W11" s="5" t="s">
        <v>21</v>
      </c>
      <c r="X11" s="5" t="s">
        <v>22</v>
      </c>
      <c r="Y11" s="5" t="s">
        <v>23</v>
      </c>
      <c r="Z11" s="5" t="s">
        <v>24</v>
      </c>
      <c r="AA11" s="5" t="s">
        <v>25</v>
      </c>
      <c r="AF11" s="5"/>
      <c r="AG11" s="5" t="s">
        <v>21</v>
      </c>
      <c r="AH11" s="5" t="s">
        <v>22</v>
      </c>
      <c r="AI11" s="5" t="s">
        <v>23</v>
      </c>
      <c r="AJ11" s="5" t="s">
        <v>24</v>
      </c>
      <c r="AK11" s="5" t="s">
        <v>25</v>
      </c>
    </row>
    <row r="12" spans="1:40" x14ac:dyDescent="0.35">
      <c r="A12">
        <v>1952</v>
      </c>
      <c r="B12" s="1">
        <f>DATE(_dat80[[#This Row],[Year]],_dat80[[#This Row],[Quarter]]*3-1,15)</f>
        <v>19221</v>
      </c>
      <c r="C12" s="2">
        <f>_dat80[[#This Row],[Year]]+(_dat80[[#This Row],[Quarter]]-1)/4+1/8</f>
        <v>1952.625</v>
      </c>
      <c r="D12" s="2">
        <f>_dat80[[#This Row],[DecDate]]^2</f>
        <v>3812744.390625</v>
      </c>
      <c r="E12">
        <v>3</v>
      </c>
      <c r="F12">
        <v>842</v>
      </c>
      <c r="G12">
        <f>LN(_dat80[[#This Row],[Expenditure]])</f>
        <v>6.7357800142423265</v>
      </c>
      <c r="H12">
        <f>_dat80[[#This Row],[LOG(Expenditure 80)]]-G11</f>
        <v>2.4039619186146943E-2</v>
      </c>
      <c r="I12">
        <f>(1+(_dat80[[#This Row],[Expenditure]]-F11)/F11)^12-1</f>
        <v>0.3343915634313428</v>
      </c>
      <c r="J12" s="2">
        <f>$W$17+$W$18*_dat80[[#This Row],[DecDate]]</f>
        <v>812.00387016164495</v>
      </c>
      <c r="K12" s="2">
        <f>$W$40+$W$41*_dat80[[#This Row],[DecDate]]+_dat80[[#This Row],[DecDate^2]]*$W$42</f>
        <v>830.96696318383329</v>
      </c>
      <c r="L12" s="2">
        <f>$AG$17+_dat80[[#This Row],[DecDate]]*$AG$18</f>
        <v>6.7206612671103292</v>
      </c>
      <c r="M12" s="2">
        <f>$AG$40+$AG$41*_dat80[[#This Row],[DecDate]]+_dat80[[#This Row],[DecDate^2]]*$AG$42</f>
        <v>6.7211418935137175</v>
      </c>
      <c r="N12" s="2">
        <f>_dat80[[#This Row],[LOG(Expenditure 80)]]-_dat80[[#This Row],[Linear Trend LOG]]</f>
        <v>1.5118747131997345E-2</v>
      </c>
      <c r="O12" s="2">
        <f t="shared" si="0"/>
        <v>1.1760610668191696E-2</v>
      </c>
      <c r="P12" s="2">
        <f>_dat80[[#This Row],[Cycle 80]]+_dat80[[#This Row],[Linear Trend LOG]]</f>
        <v>6.7324218777785205</v>
      </c>
      <c r="Q12" s="2">
        <f>_dat80[[#This Row],[Detrend(Linear)]]-_dat80[[#This Row],[Cycle 80]]</f>
        <v>3.3581364638056495E-3</v>
      </c>
      <c r="R12" s="2">
        <f>AVERAGEIF(_dat80[Quarter],_dat80[[#This Row],[Quarter]],_dat80[High Frequency])</f>
        <v>3.946848336706609E-3</v>
      </c>
      <c r="S12" s="2">
        <f>_dat80[[#This Row],[S0]]-AVERAGE($R$2:$R$5)</f>
        <v>3.8920300735566758E-3</v>
      </c>
      <c r="V12" s="3" t="s">
        <v>17</v>
      </c>
      <c r="W12" s="3">
        <v>1</v>
      </c>
      <c r="X12" s="3">
        <v>7067691.8409952885</v>
      </c>
      <c r="Y12" s="3">
        <v>7067691.8409952885</v>
      </c>
      <c r="Z12" s="3">
        <v>8237.9228783521794</v>
      </c>
      <c r="AA12" s="3">
        <v>9.4925488659364506E-211</v>
      </c>
      <c r="AF12" s="3" t="s">
        <v>17</v>
      </c>
      <c r="AG12" s="3">
        <v>1</v>
      </c>
      <c r="AH12" s="3">
        <v>6.2907249121043467</v>
      </c>
      <c r="AI12" s="3">
        <v>6.2907249121043467</v>
      </c>
      <c r="AJ12" s="3">
        <v>9092.9432629720595</v>
      </c>
      <c r="AK12" s="3">
        <v>1.3199578472375637E-216</v>
      </c>
    </row>
    <row r="13" spans="1:40" x14ac:dyDescent="0.35">
      <c r="A13">
        <v>1952</v>
      </c>
      <c r="B13" s="1">
        <f>DATE(_dat80[[#This Row],[Year]],_dat80[[#This Row],[Quarter]]*3-1,15)</f>
        <v>19313</v>
      </c>
      <c r="C13" s="2">
        <f>_dat80[[#This Row],[Year]]+(_dat80[[#This Row],[Quarter]]-1)/4+1/8</f>
        <v>1952.875</v>
      </c>
      <c r="D13" s="2">
        <f>_dat80[[#This Row],[DecDate]]^2</f>
        <v>3813720.765625</v>
      </c>
      <c r="E13">
        <v>4</v>
      </c>
      <c r="F13">
        <v>799</v>
      </c>
      <c r="G13">
        <f>LN(_dat80[[#This Row],[Expenditure]])</f>
        <v>6.6833609457662746</v>
      </c>
      <c r="H13">
        <f>_dat80[[#This Row],[LOG(Expenditure 80)]]-G12</f>
        <v>-5.2419068476051933E-2</v>
      </c>
      <c r="I13">
        <f>(1+(_dat80[[#This Row],[Expenditure]]-F12)/F12)^12-1</f>
        <v>-0.46689070615169914</v>
      </c>
      <c r="J13" s="2">
        <f>$W$17+$W$18*_dat80[[#This Row],[DecDate]]</f>
        <v>813.92808964630422</v>
      </c>
      <c r="K13" s="2">
        <f>$W$40+$W$41*_dat80[[#This Row],[DecDate]]+_dat80[[#This Row],[DecDate^2]]*$W$42</f>
        <v>832.42118641725392</v>
      </c>
      <c r="L13" s="2">
        <f>$AG$17+_dat80[[#This Row],[DecDate]]*$AG$18</f>
        <v>6.7224766412827064</v>
      </c>
      <c r="M13" s="2">
        <f>$AG$40+$AG$41*_dat80[[#This Row],[DecDate]]+_dat80[[#This Row],[DecDate^2]]*$AG$42</f>
        <v>6.7229453554623042</v>
      </c>
      <c r="N13" s="2">
        <f>_dat80[[#This Row],[LOG(Expenditure 80)]]-_dat80[[#This Row],[Linear Trend LOG]]</f>
        <v>-3.9115695516431792E-2</v>
      </c>
      <c r="O13" s="2">
        <f t="shared" si="0"/>
        <v>-7.2712332618625193E-4</v>
      </c>
      <c r="P13" s="2">
        <f>_dat80[[#This Row],[Cycle 80]]+_dat80[[#This Row],[Linear Trend LOG]]</f>
        <v>6.7217495179565203</v>
      </c>
      <c r="Q13" s="2">
        <f>_dat80[[#This Row],[Detrend(Linear)]]-_dat80[[#This Row],[Cycle 80]]</f>
        <v>-3.8388572190245537E-2</v>
      </c>
      <c r="R13" s="2">
        <f>AVERAGEIF(_dat80[Quarter],_dat80[[#This Row],[Quarter]],_dat80[High Frequency])</f>
        <v>-2.9622809170614002E-2</v>
      </c>
      <c r="S13" s="2">
        <f>_dat80[[#This Row],[S0]]-AVERAGE($R$2:$R$5)</f>
        <v>-2.9677627433763936E-2</v>
      </c>
      <c r="V13" s="3" t="s">
        <v>18</v>
      </c>
      <c r="W13" s="3">
        <v>282</v>
      </c>
      <c r="X13" s="3">
        <v>241940.7329483699</v>
      </c>
      <c r="Y13" s="3">
        <v>857.94586151904218</v>
      </c>
      <c r="Z13" s="3"/>
      <c r="AA13" s="3"/>
      <c r="AF13" s="3" t="s">
        <v>18</v>
      </c>
      <c r="AG13" s="3">
        <v>282</v>
      </c>
      <c r="AH13" s="3">
        <v>0.19509463260783538</v>
      </c>
      <c r="AI13" s="3">
        <v>6.9182493832565736E-4</v>
      </c>
      <c r="AJ13" s="3"/>
      <c r="AK13" s="3"/>
    </row>
    <row r="14" spans="1:40" ht="15" thickBot="1" x14ac:dyDescent="0.4">
      <c r="A14">
        <v>1953</v>
      </c>
      <c r="B14" s="1">
        <f>DATE(_dat80[[#This Row],[Year]],_dat80[[#This Row],[Quarter]]*3-1,15)</f>
        <v>19405</v>
      </c>
      <c r="C14" s="2">
        <f>_dat80[[#This Row],[Year]]+(_dat80[[#This Row],[Quarter]]-1)/4+1/8</f>
        <v>1953.125</v>
      </c>
      <c r="D14" s="2">
        <f>_dat80[[#This Row],[DecDate]]^2</f>
        <v>3814697.265625</v>
      </c>
      <c r="E14">
        <v>1</v>
      </c>
      <c r="F14">
        <v>869</v>
      </c>
      <c r="G14">
        <f>LN(_dat80[[#This Row],[Expenditure]])</f>
        <v>6.7673431252653922</v>
      </c>
      <c r="H14">
        <f>_dat80[[#This Row],[LOG(Expenditure 80)]]-G13</f>
        <v>8.3982179499117571E-2</v>
      </c>
      <c r="I14">
        <f>(1+(_dat80[[#This Row],[Expenditure]]-F13)/F13)^12-1</f>
        <v>1.739529400452791</v>
      </c>
      <c r="J14" s="2">
        <f>$W$17+$W$18*_dat80[[#This Row],[DecDate]]</f>
        <v>815.85230913096348</v>
      </c>
      <c r="K14" s="2">
        <f>$W$40+$W$41*_dat80[[#This Row],[DecDate]]+_dat80[[#This Row],[DecDate^2]]*$W$42</f>
        <v>833.87899740833382</v>
      </c>
      <c r="L14" s="2">
        <f>$AG$17+_dat80[[#This Row],[DecDate]]*$AG$18</f>
        <v>6.7242920154550836</v>
      </c>
      <c r="M14" s="2">
        <f>$AG$40+$AG$41*_dat80[[#This Row],[DecDate]]+_dat80[[#This Row],[DecDate^2]]*$AG$42</f>
        <v>6.724748908343896</v>
      </c>
      <c r="N14" s="2">
        <f>_dat80[[#This Row],[LOG(Expenditure 80)]]-_dat80[[#This Row],[Linear Trend LOG]]</f>
        <v>4.3051109810308574E-2</v>
      </c>
      <c r="O14" s="2">
        <f t="shared" si="0"/>
        <v>3.4495624206122956E-3</v>
      </c>
      <c r="P14" s="2">
        <f>_dat80[[#This Row],[Cycle 80]]+_dat80[[#This Row],[Linear Trend LOG]]</f>
        <v>6.7277415778756957</v>
      </c>
      <c r="Q14" s="2">
        <f>_dat80[[#This Row],[Detrend(Linear)]]-_dat80[[#This Row],[Cycle 80]]</f>
        <v>3.9601547389696276E-2</v>
      </c>
      <c r="R14" s="2">
        <f>AVERAGEIF(_dat80[Quarter],_dat80[[#This Row],[Quarter]],_dat80[High Frequency])</f>
        <v>3.3009459236017259E-2</v>
      </c>
      <c r="S14" s="2">
        <f>_dat80[[#This Row],[S0]]-AVERAGE($R$2:$R$5)</f>
        <v>3.2954640972867329E-2</v>
      </c>
      <c r="V14" s="4" t="s">
        <v>19</v>
      </c>
      <c r="W14" s="4">
        <v>283</v>
      </c>
      <c r="X14" s="4">
        <v>7309632.5739436587</v>
      </c>
      <c r="Y14" s="4"/>
      <c r="Z14" s="4"/>
      <c r="AA14" s="4"/>
      <c r="AF14" s="4" t="s">
        <v>19</v>
      </c>
      <c r="AG14" s="4">
        <v>283</v>
      </c>
      <c r="AH14" s="4">
        <v>6.4858195447121822</v>
      </c>
      <c r="AI14" s="4"/>
      <c r="AJ14" s="4"/>
      <c r="AK14" s="4"/>
    </row>
    <row r="15" spans="1:40" ht="15" thickBot="1" x14ac:dyDescent="0.4">
      <c r="A15">
        <v>1953</v>
      </c>
      <c r="B15" s="1">
        <f>DATE(_dat80[[#This Row],[Year]],_dat80[[#This Row],[Quarter]]*3-1,15)</f>
        <v>19494</v>
      </c>
      <c r="C15" s="2">
        <f>_dat80[[#This Row],[Year]]+(_dat80[[#This Row],[Quarter]]-1)/4+1/8</f>
        <v>1953.375</v>
      </c>
      <c r="D15" s="2">
        <f>_dat80[[#This Row],[DecDate]]^2</f>
        <v>3815673.890625</v>
      </c>
      <c r="E15">
        <v>2</v>
      </c>
      <c r="F15">
        <v>821</v>
      </c>
      <c r="G15">
        <f>LN(_dat80[[#This Row],[Expenditure]])</f>
        <v>6.7105231094524278</v>
      </c>
      <c r="H15">
        <f>_dat80[[#This Row],[LOG(Expenditure 80)]]-G14</f>
        <v>-5.6820015812964364E-2</v>
      </c>
      <c r="I15">
        <f>(1+(_dat80[[#This Row],[Expenditure]]-F14)/F14)^12-1</f>
        <v>-0.4943144217815344</v>
      </c>
      <c r="J15" s="2">
        <f>$W$17+$W$18*_dat80[[#This Row],[DecDate]]</f>
        <v>817.77652861562274</v>
      </c>
      <c r="K15" s="2">
        <f>$W$40+$W$41*_dat80[[#This Row],[DecDate]]+_dat80[[#This Row],[DecDate^2]]*$W$42</f>
        <v>835.34039615701477</v>
      </c>
      <c r="L15" s="2">
        <f>$AG$17+_dat80[[#This Row],[DecDate]]*$AG$18</f>
        <v>6.726107389627459</v>
      </c>
      <c r="M15" s="2">
        <f>$AG$40+$AG$41*_dat80[[#This Row],[DecDate]]+_dat80[[#This Row],[DecDate^2]]*$AG$42</f>
        <v>6.7265525521584957</v>
      </c>
      <c r="N15" s="2">
        <f>_dat80[[#This Row],[LOG(Expenditure 80)]]-_dat80[[#This Row],[Linear Trend LOG]]</f>
        <v>-1.5584280175031218E-2</v>
      </c>
      <c r="O15" s="2">
        <f t="shared" si="0"/>
        <v>-9.3508788421868168E-3</v>
      </c>
      <c r="P15" s="2">
        <f>_dat80[[#This Row],[Cycle 80]]+_dat80[[#This Row],[Linear Trend LOG]]</f>
        <v>6.716756510785272</v>
      </c>
      <c r="Q15" s="2">
        <f>_dat80[[#This Row],[Detrend(Linear)]]-_dat80[[#This Row],[Cycle 80]]</f>
        <v>-6.2334013328444009E-3</v>
      </c>
      <c r="R15" s="2">
        <f>AVERAGEIF(_dat80[Quarter],_dat80[[#This Row],[Quarter]],_dat80[High Frequency])</f>
        <v>-7.1142253495101353E-3</v>
      </c>
      <c r="S15" s="2">
        <f>_dat80[[#This Row],[S0]]-AVERAGE($R$2:$R$5)</f>
        <v>-7.1690436126600685E-3</v>
      </c>
    </row>
    <row r="16" spans="1:40" x14ac:dyDescent="0.35">
      <c r="A16">
        <v>1953</v>
      </c>
      <c r="B16" s="1">
        <f>DATE(_dat80[[#This Row],[Year]],_dat80[[#This Row],[Quarter]]*3-1,15)</f>
        <v>19586</v>
      </c>
      <c r="C16" s="2">
        <f>_dat80[[#This Row],[Year]]+(_dat80[[#This Row],[Quarter]]-1)/4+1/8</f>
        <v>1953.625</v>
      </c>
      <c r="D16" s="2">
        <f>_dat80[[#This Row],[DecDate]]^2</f>
        <v>3816650.640625</v>
      </c>
      <c r="E16">
        <v>3</v>
      </c>
      <c r="F16">
        <v>847</v>
      </c>
      <c r="G16">
        <f>LN(_dat80[[#This Row],[Expenditure]])</f>
        <v>6.7417006946520548</v>
      </c>
      <c r="H16">
        <f>_dat80[[#This Row],[LOG(Expenditure 80)]]-G15</f>
        <v>3.1177585199626989E-2</v>
      </c>
      <c r="I16">
        <f>(1+(_dat80[[#This Row],[Expenditure]]-F15)/F15)^12-1</f>
        <v>0.45372760885315833</v>
      </c>
      <c r="J16" s="2">
        <f>$W$17+$W$18*_dat80[[#This Row],[DecDate]]</f>
        <v>819.700748100282</v>
      </c>
      <c r="K16" s="2">
        <f>$W$40+$W$41*_dat80[[#This Row],[DecDate]]+_dat80[[#This Row],[DecDate^2]]*$W$42</f>
        <v>836.80538266338408</v>
      </c>
      <c r="L16" s="2">
        <f>$AG$17+_dat80[[#This Row],[DecDate]]*$AG$18</f>
        <v>6.7279227637998362</v>
      </c>
      <c r="M16" s="2">
        <f>$AG$40+$AG$41*_dat80[[#This Row],[DecDate]]+_dat80[[#This Row],[DecDate^2]]*$AG$42</f>
        <v>6.7283562869060995</v>
      </c>
      <c r="N16" s="2">
        <f>_dat80[[#This Row],[LOG(Expenditure 80)]]-_dat80[[#This Row],[Linear Trend LOG]]</f>
        <v>1.3777930852218567E-2</v>
      </c>
      <c r="O16" s="2">
        <f t="shared" si="0"/>
        <v>6.0899532026819966E-3</v>
      </c>
      <c r="P16" s="2">
        <f>_dat80[[#This Row],[Cycle 80]]+_dat80[[#This Row],[Linear Trend LOG]]</f>
        <v>6.7340127170025186</v>
      </c>
      <c r="Q16" s="2">
        <f>_dat80[[#This Row],[Detrend(Linear)]]-_dat80[[#This Row],[Cycle 80]]</f>
        <v>7.6879776495365707E-3</v>
      </c>
      <c r="R16" s="2">
        <f>AVERAGEIF(_dat80[Quarter],_dat80[[#This Row],[Quarter]],_dat80[High Frequency])</f>
        <v>3.946848336706609E-3</v>
      </c>
      <c r="S16" s="2">
        <f>_dat80[[#This Row],[S0]]-AVERAGE($R$2:$R$5)</f>
        <v>3.8920300735566758E-3</v>
      </c>
      <c r="V16" s="5"/>
      <c r="W16" s="5" t="s">
        <v>26</v>
      </c>
      <c r="X16" s="5" t="s">
        <v>14</v>
      </c>
      <c r="Y16" s="5" t="s">
        <v>27</v>
      </c>
      <c r="Z16" s="5" t="s">
        <v>28</v>
      </c>
      <c r="AA16" s="5" t="s">
        <v>29</v>
      </c>
      <c r="AB16" s="5" t="s">
        <v>30</v>
      </c>
      <c r="AC16" s="5" t="s">
        <v>31</v>
      </c>
      <c r="AD16" s="5" t="s">
        <v>32</v>
      </c>
      <c r="AF16" s="5"/>
      <c r="AG16" s="5" t="s">
        <v>26</v>
      </c>
      <c r="AH16" s="5" t="s">
        <v>14</v>
      </c>
      <c r="AI16" s="5" t="s">
        <v>27</v>
      </c>
      <c r="AJ16" s="5" t="s">
        <v>28</v>
      </c>
      <c r="AK16" s="5" t="s">
        <v>29</v>
      </c>
      <c r="AL16" s="5" t="s">
        <v>30</v>
      </c>
      <c r="AM16" s="5" t="s">
        <v>31</v>
      </c>
      <c r="AN16" s="5" t="s">
        <v>32</v>
      </c>
    </row>
    <row r="17" spans="1:40" x14ac:dyDescent="0.35">
      <c r="A17">
        <v>1953</v>
      </c>
      <c r="B17" s="1">
        <f>DATE(_dat80[[#This Row],[Year]],_dat80[[#This Row],[Quarter]]*3-1,15)</f>
        <v>19678</v>
      </c>
      <c r="C17" s="2">
        <f>_dat80[[#This Row],[Year]]+(_dat80[[#This Row],[Quarter]]-1)/4+1/8</f>
        <v>1953.875</v>
      </c>
      <c r="D17" s="2">
        <f>_dat80[[#This Row],[DecDate]]^2</f>
        <v>3817627.515625</v>
      </c>
      <c r="E17">
        <v>4</v>
      </c>
      <c r="F17">
        <v>797</v>
      </c>
      <c r="G17">
        <f>LN(_dat80[[#This Row],[Expenditure]])</f>
        <v>6.6808546787902152</v>
      </c>
      <c r="H17">
        <f>_dat80[[#This Row],[LOG(Expenditure 80)]]-G16</f>
        <v>-6.0846015861839575E-2</v>
      </c>
      <c r="I17">
        <f>(1+(_dat80[[#This Row],[Expenditure]]-F16)/F16)^12-1</f>
        <v>-0.51816434622316598</v>
      </c>
      <c r="J17" s="2">
        <f>$W$17+$W$18*_dat80[[#This Row],[DecDate]]</f>
        <v>821.62496758494126</v>
      </c>
      <c r="K17" s="2">
        <f>$W$40+$W$41*_dat80[[#This Row],[DecDate]]+_dat80[[#This Row],[DecDate^2]]*$W$42</f>
        <v>838.27395692738355</v>
      </c>
      <c r="L17" s="2">
        <f>$AG$17+_dat80[[#This Row],[DecDate]]*$AG$18</f>
        <v>6.7297381379722134</v>
      </c>
      <c r="M17" s="2">
        <f>$AG$40+$AG$41*_dat80[[#This Row],[DecDate]]+_dat80[[#This Row],[DecDate^2]]*$AG$42</f>
        <v>6.7301601125867094</v>
      </c>
      <c r="N17" s="2">
        <f>_dat80[[#This Row],[LOG(Expenditure 80)]]-_dat80[[#This Row],[Linear Trend LOG]]</f>
        <v>-4.8883459181998212E-2</v>
      </c>
      <c r="O17" s="2">
        <f t="shared" si="0"/>
        <v>-5.6331070180346996E-3</v>
      </c>
      <c r="P17" s="2">
        <f>_dat80[[#This Row],[Cycle 80]]+_dat80[[#This Row],[Linear Trend LOG]]</f>
        <v>6.7241050309541786</v>
      </c>
      <c r="Q17" s="2">
        <f>_dat80[[#This Row],[Detrend(Linear)]]-_dat80[[#This Row],[Cycle 80]]</f>
        <v>-4.3250352163963515E-2</v>
      </c>
      <c r="R17" s="2">
        <f>AVERAGEIF(_dat80[Quarter],_dat80[[#This Row],[Quarter]],_dat80[High Frequency])</f>
        <v>-2.9622809170614002E-2</v>
      </c>
      <c r="S17" s="2">
        <f>_dat80[[#This Row],[S0]]-AVERAGE($R$2:$R$5)</f>
        <v>-2.9677627433763936E-2</v>
      </c>
      <c r="V17" s="3" t="s">
        <v>20</v>
      </c>
      <c r="W17" s="3">
        <v>-14217.112414771313</v>
      </c>
      <c r="X17" s="3">
        <v>168.38320343236097</v>
      </c>
      <c r="Y17" s="3">
        <v>-84.43307957662347</v>
      </c>
      <c r="Z17" s="3">
        <v>3.2941460539046774E-202</v>
      </c>
      <c r="AA17" s="3">
        <v>-14548.55991625205</v>
      </c>
      <c r="AB17" s="3">
        <v>-13885.664913290575</v>
      </c>
      <c r="AC17" s="3">
        <v>-14548.55991625205</v>
      </c>
      <c r="AD17" s="3">
        <v>-13885.664913290575</v>
      </c>
      <c r="AF17" s="3" t="s">
        <v>20</v>
      </c>
      <c r="AG17" s="3">
        <v>-7.4583187062377396</v>
      </c>
      <c r="AH17" s="3">
        <v>0.15120527147429791</v>
      </c>
      <c r="AI17" s="3">
        <v>-49.325784964484626</v>
      </c>
      <c r="AJ17" s="3">
        <v>1.0541416585747139E-140</v>
      </c>
      <c r="AK17" s="3">
        <v>-7.7559529620262291</v>
      </c>
      <c r="AL17" s="3">
        <v>-7.1606844504492502</v>
      </c>
      <c r="AM17" s="3">
        <v>-7.7559529620262291</v>
      </c>
      <c r="AN17" s="3">
        <v>-7.1606844504492502</v>
      </c>
    </row>
    <row r="18" spans="1:40" ht="15" thickBot="1" x14ac:dyDescent="0.4">
      <c r="A18">
        <v>1954</v>
      </c>
      <c r="B18" s="1">
        <f>DATE(_dat80[[#This Row],[Year]],_dat80[[#This Row],[Quarter]]*3-1,15)</f>
        <v>19770</v>
      </c>
      <c r="C18" s="2">
        <f>_dat80[[#This Row],[Year]]+(_dat80[[#This Row],[Quarter]]-1)/4+1/8</f>
        <v>1954.125</v>
      </c>
      <c r="D18" s="2">
        <f>_dat80[[#This Row],[DecDate]]^2</f>
        <v>3818604.515625</v>
      </c>
      <c r="E18">
        <v>1</v>
      </c>
      <c r="F18">
        <v>871</v>
      </c>
      <c r="G18">
        <f>LN(_dat80[[#This Row],[Expenditure]])</f>
        <v>6.7696419768525029</v>
      </c>
      <c r="H18">
        <f>_dat80[[#This Row],[LOG(Expenditure 80)]]-G17</f>
        <v>8.878729806228769E-2</v>
      </c>
      <c r="I18">
        <f>(1+(_dat80[[#This Row],[Expenditure]]-F17)/F17)^12-1</f>
        <v>1.9021376227355602</v>
      </c>
      <c r="J18" s="2">
        <f>$W$17+$W$18*_dat80[[#This Row],[DecDate]]</f>
        <v>823.54918706960052</v>
      </c>
      <c r="K18" s="2">
        <f>$W$40+$W$41*_dat80[[#This Row],[DecDate]]+_dat80[[#This Row],[DecDate^2]]*$W$42</f>
        <v>839.74611894902773</v>
      </c>
      <c r="L18" s="2">
        <f>$AG$17+_dat80[[#This Row],[DecDate]]*$AG$18</f>
        <v>6.7315535121445906</v>
      </c>
      <c r="M18" s="2">
        <f>$AG$40+$AG$41*_dat80[[#This Row],[DecDate]]+_dat80[[#This Row],[DecDate^2]]*$AG$42</f>
        <v>6.7319640292003271</v>
      </c>
      <c r="N18" s="2">
        <f>_dat80[[#This Row],[LOG(Expenditure 80)]]-_dat80[[#This Row],[Linear Trend LOG]]</f>
        <v>3.8088464707912273E-2</v>
      </c>
      <c r="O18" s="2">
        <f t="shared" si="0"/>
        <v>-1.2129641504861511E-3</v>
      </c>
      <c r="P18" s="2">
        <f>_dat80[[#This Row],[Cycle 80]]+_dat80[[#This Row],[Linear Trend LOG]]</f>
        <v>6.7303405479941043</v>
      </c>
      <c r="Q18" s="2">
        <f>_dat80[[#This Row],[Detrend(Linear)]]-_dat80[[#This Row],[Cycle 80]]</f>
        <v>3.9301428858398421E-2</v>
      </c>
      <c r="R18" s="2">
        <f>AVERAGEIF(_dat80[Quarter],_dat80[[#This Row],[Quarter]],_dat80[High Frequency])</f>
        <v>3.3009459236017259E-2</v>
      </c>
      <c r="S18" s="2">
        <f>_dat80[[#This Row],[S0]]-AVERAGE($R$2:$R$5)</f>
        <v>3.2954640972867329E-2</v>
      </c>
      <c r="V18" s="4" t="s">
        <v>33</v>
      </c>
      <c r="W18" s="4">
        <v>7.6968779386379653</v>
      </c>
      <c r="X18" s="4">
        <v>8.4801930381940352E-2</v>
      </c>
      <c r="Y18" s="4">
        <v>90.763003907716623</v>
      </c>
      <c r="Z18" s="4">
        <v>9.4925488659359102E-211</v>
      </c>
      <c r="AA18" s="4">
        <v>7.5299528096886981</v>
      </c>
      <c r="AB18" s="4">
        <v>7.8638030675872326</v>
      </c>
      <c r="AC18" s="4">
        <v>7.5299528096886981</v>
      </c>
      <c r="AD18" s="4">
        <v>7.8638030675872326</v>
      </c>
      <c r="AF18" s="4" t="s">
        <v>33</v>
      </c>
      <c r="AG18" s="4">
        <v>7.2614966895067252E-3</v>
      </c>
      <c r="AH18" s="4">
        <v>7.6150700566143841E-5</v>
      </c>
      <c r="AI18" s="4">
        <v>95.356925616192484</v>
      </c>
      <c r="AJ18" s="4">
        <v>1.3199578472374136E-216</v>
      </c>
      <c r="AK18" s="4">
        <v>7.111600744280841E-3</v>
      </c>
      <c r="AL18" s="4">
        <v>7.4113926347326095E-3</v>
      </c>
      <c r="AM18" s="4">
        <v>7.111600744280841E-3</v>
      </c>
      <c r="AN18" s="4">
        <v>7.4113926347326095E-3</v>
      </c>
    </row>
    <row r="19" spans="1:40" x14ac:dyDescent="0.35">
      <c r="A19">
        <v>1954</v>
      </c>
      <c r="B19" s="1">
        <f>DATE(_dat80[[#This Row],[Year]],_dat80[[#This Row],[Quarter]]*3-1,15)</f>
        <v>19859</v>
      </c>
      <c r="C19" s="2">
        <f>_dat80[[#This Row],[Year]]+(_dat80[[#This Row],[Quarter]]-1)/4+1/8</f>
        <v>1954.375</v>
      </c>
      <c r="D19" s="2">
        <f>_dat80[[#This Row],[DecDate]]^2</f>
        <v>3819581.640625</v>
      </c>
      <c r="E19">
        <v>2</v>
      </c>
      <c r="F19">
        <v>827</v>
      </c>
      <c r="G19">
        <f>LN(_dat80[[#This Row],[Expenditure]])</f>
        <v>6.7178046950236912</v>
      </c>
      <c r="H19">
        <f>_dat80[[#This Row],[LOG(Expenditure 80)]]-G18</f>
        <v>-5.1837281828811754E-2</v>
      </c>
      <c r="I19">
        <f>(1+(_dat80[[#This Row],[Expenditure]]-F18)/F18)^12-1</f>
        <v>-0.46315581343328827</v>
      </c>
      <c r="J19" s="2">
        <f>$W$17+$W$18*_dat80[[#This Row],[DecDate]]</f>
        <v>825.4734065542616</v>
      </c>
      <c r="K19" s="2">
        <f>$W$40+$W$41*_dat80[[#This Row],[DecDate]]+_dat80[[#This Row],[DecDate^2]]*$W$42</f>
        <v>841.22186872828752</v>
      </c>
      <c r="L19" s="2">
        <f>$AG$17+_dat80[[#This Row],[DecDate]]*$AG$18</f>
        <v>6.7333688863169661</v>
      </c>
      <c r="M19" s="2">
        <f>$AG$40+$AG$41*_dat80[[#This Row],[DecDate]]+_dat80[[#This Row],[DecDate^2]]*$AG$42</f>
        <v>6.733768036746949</v>
      </c>
      <c r="N19" s="2">
        <f>_dat80[[#This Row],[LOG(Expenditure 80)]]-_dat80[[#This Row],[Linear Trend LOG]]</f>
        <v>-1.5564191293274909E-2</v>
      </c>
      <c r="O19" s="2">
        <f t="shared" si="0"/>
        <v>-1.2703743599284145E-2</v>
      </c>
      <c r="P19" s="2">
        <f>_dat80[[#This Row],[Cycle 80]]+_dat80[[#This Row],[Linear Trend LOG]]</f>
        <v>6.7206651427176816</v>
      </c>
      <c r="Q19" s="2">
        <f>_dat80[[#This Row],[Detrend(Linear)]]-_dat80[[#This Row],[Cycle 80]]</f>
        <v>-2.8604476939907645E-3</v>
      </c>
      <c r="R19" s="2">
        <f>AVERAGEIF(_dat80[Quarter],_dat80[[#This Row],[Quarter]],_dat80[High Frequency])</f>
        <v>-7.1142253495101353E-3</v>
      </c>
      <c r="S19" s="2">
        <f>_dat80[[#This Row],[S0]]-AVERAGE($R$2:$R$5)</f>
        <v>-7.1690436126600685E-3</v>
      </c>
    </row>
    <row r="20" spans="1:40" x14ac:dyDescent="0.35">
      <c r="A20">
        <v>1954</v>
      </c>
      <c r="B20" s="1">
        <f>DATE(_dat80[[#This Row],[Year]],_dat80[[#This Row],[Quarter]]*3-1,15)</f>
        <v>19951</v>
      </c>
      <c r="C20" s="2">
        <f>_dat80[[#This Row],[Year]]+(_dat80[[#This Row],[Quarter]]-1)/4+1/8</f>
        <v>1954.625</v>
      </c>
      <c r="D20" s="2">
        <f>_dat80[[#This Row],[DecDate]]^2</f>
        <v>3820558.890625</v>
      </c>
      <c r="E20">
        <v>3</v>
      </c>
      <c r="F20">
        <v>847</v>
      </c>
      <c r="G20">
        <f>LN(_dat80[[#This Row],[Expenditure]])</f>
        <v>6.7417006946520548</v>
      </c>
      <c r="H20">
        <f>_dat80[[#This Row],[LOG(Expenditure 80)]]-G19</f>
        <v>2.389599962836364E-2</v>
      </c>
      <c r="I20">
        <f>(1+(_dat80[[#This Row],[Expenditure]]-F19)/F19)^12-1</f>
        <v>0.33209380730139459</v>
      </c>
      <c r="J20" s="2">
        <f>$W$17+$W$18*_dat80[[#This Row],[DecDate]]</f>
        <v>827.39762603892086</v>
      </c>
      <c r="K20" s="2">
        <f>$W$40+$W$41*_dat80[[#This Row],[DecDate]]+_dat80[[#This Row],[DecDate^2]]*$W$42</f>
        <v>842.70120626522112</v>
      </c>
      <c r="L20" s="2">
        <f>$AG$17+_dat80[[#This Row],[DecDate]]*$AG$18</f>
        <v>6.7351842604893433</v>
      </c>
      <c r="M20" s="2">
        <f>$AG$40+$AG$41*_dat80[[#This Row],[DecDate]]+_dat80[[#This Row],[DecDate^2]]*$AG$42</f>
        <v>6.7355721352265787</v>
      </c>
      <c r="N20" s="2">
        <f>_dat80[[#This Row],[LOG(Expenditure 80)]]-_dat80[[#This Row],[Linear Trend LOG]]</f>
        <v>6.5164341627115263E-3</v>
      </c>
      <c r="O20" s="2">
        <f t="shared" si="0"/>
        <v>5.5214716575322951E-3</v>
      </c>
      <c r="P20" s="2">
        <f>_dat80[[#This Row],[Cycle 80]]+_dat80[[#This Row],[Linear Trend LOG]]</f>
        <v>6.7407057321468757</v>
      </c>
      <c r="Q20" s="2">
        <f>_dat80[[#This Row],[Detrend(Linear)]]-_dat80[[#This Row],[Cycle 80]]</f>
        <v>9.9496250517923119E-4</v>
      </c>
      <c r="R20" s="2">
        <f>AVERAGEIF(_dat80[Quarter],_dat80[[#This Row],[Quarter]],_dat80[High Frequency])</f>
        <v>3.946848336706609E-3</v>
      </c>
      <c r="S20" s="2">
        <f>_dat80[[#This Row],[S0]]-AVERAGE($R$2:$R$5)</f>
        <v>3.8920300735566758E-3</v>
      </c>
    </row>
    <row r="21" spans="1:40" x14ac:dyDescent="0.35">
      <c r="A21">
        <v>1954</v>
      </c>
      <c r="B21" s="1">
        <f>DATE(_dat80[[#This Row],[Year]],_dat80[[#This Row],[Quarter]]*3-1,15)</f>
        <v>20043</v>
      </c>
      <c r="C21" s="2">
        <f>_dat80[[#This Row],[Year]]+(_dat80[[#This Row],[Quarter]]-1)/4+1/8</f>
        <v>1954.875</v>
      </c>
      <c r="D21" s="2">
        <f>_dat80[[#This Row],[DecDate]]^2</f>
        <v>3821536.265625</v>
      </c>
      <c r="E21">
        <v>4</v>
      </c>
      <c r="F21">
        <v>807</v>
      </c>
      <c r="G21">
        <f>LN(_dat80[[#This Row],[Expenditure]])</f>
        <v>6.6933236682699491</v>
      </c>
      <c r="H21">
        <f>_dat80[[#This Row],[LOG(Expenditure 80)]]-G20</f>
        <v>-4.8377026382105726E-2</v>
      </c>
      <c r="I21">
        <f>(1+(_dat80[[#This Row],[Expenditure]]-F20)/F20)^12-1</f>
        <v>-0.44039512048746388</v>
      </c>
      <c r="J21" s="2">
        <f>$W$17+$W$18*_dat80[[#This Row],[DecDate]]</f>
        <v>829.32184552358012</v>
      </c>
      <c r="K21" s="2">
        <f>$W$40+$W$41*_dat80[[#This Row],[DecDate]]+_dat80[[#This Row],[DecDate^2]]*$W$42</f>
        <v>844.18413155979943</v>
      </c>
      <c r="L21" s="2">
        <f>$AG$17+_dat80[[#This Row],[DecDate]]*$AG$18</f>
        <v>6.7369996346617205</v>
      </c>
      <c r="M21" s="2">
        <f>$AG$40+$AG$41*_dat80[[#This Row],[DecDate]]+_dat80[[#This Row],[DecDate^2]]*$AG$42</f>
        <v>6.7373763246392127</v>
      </c>
      <c r="N21" s="2">
        <f>_dat80[[#This Row],[LOG(Expenditure 80)]]-_dat80[[#This Row],[Linear Trend LOG]]</f>
        <v>-4.3675966391771404E-2</v>
      </c>
      <c r="O21" s="2">
        <f t="shared" si="0"/>
        <v>-3.541919517872927E-3</v>
      </c>
      <c r="P21" s="2">
        <f>_dat80[[#This Row],[Cycle 80]]+_dat80[[#This Row],[Linear Trend LOG]]</f>
        <v>6.7334577151438477</v>
      </c>
      <c r="Q21" s="2">
        <f>_dat80[[#This Row],[Detrend(Linear)]]-_dat80[[#This Row],[Cycle 80]]</f>
        <v>-4.0134046873898474E-2</v>
      </c>
      <c r="R21" s="2">
        <f>AVERAGEIF(_dat80[Quarter],_dat80[[#This Row],[Quarter]],_dat80[High Frequency])</f>
        <v>-2.9622809170614002E-2</v>
      </c>
      <c r="S21" s="2">
        <f>_dat80[[#This Row],[S0]]-AVERAGE($R$2:$R$5)</f>
        <v>-2.9677627433763936E-2</v>
      </c>
    </row>
    <row r="22" spans="1:40" x14ac:dyDescent="0.35">
      <c r="A22">
        <v>1955</v>
      </c>
      <c r="B22" s="1">
        <f>DATE(_dat80[[#This Row],[Year]],_dat80[[#This Row],[Quarter]]*3-1,15)</f>
        <v>20135</v>
      </c>
      <c r="C22" s="2">
        <f>_dat80[[#This Row],[Year]]+(_dat80[[#This Row],[Quarter]]-1)/4+1/8</f>
        <v>1955.125</v>
      </c>
      <c r="D22" s="2">
        <f>_dat80[[#This Row],[DecDate]]^2</f>
        <v>3822513.765625</v>
      </c>
      <c r="E22">
        <v>1</v>
      </c>
      <c r="F22">
        <v>881</v>
      </c>
      <c r="G22">
        <f>LN(_dat80[[#This Row],[Expenditure]])</f>
        <v>6.7810576259361799</v>
      </c>
      <c r="H22">
        <f>_dat80[[#This Row],[LOG(Expenditure 80)]]-G21</f>
        <v>8.7733957666230822E-2</v>
      </c>
      <c r="I22">
        <f>(1+(_dat80[[#This Row],[Expenditure]]-F21)/F21)^12-1</f>
        <v>1.8656852232669108</v>
      </c>
      <c r="J22" s="2">
        <f>$W$17+$W$18*_dat80[[#This Row],[DecDate]]</f>
        <v>831.24606500823938</v>
      </c>
      <c r="K22" s="2">
        <f>$W$40+$W$41*_dat80[[#This Row],[DecDate]]+_dat80[[#This Row],[DecDate^2]]*$W$42</f>
        <v>845.67064461200789</v>
      </c>
      <c r="L22" s="2">
        <f>$AG$17+_dat80[[#This Row],[DecDate]]*$AG$18</f>
        <v>6.7388150088340959</v>
      </c>
      <c r="M22" s="2">
        <f>$AG$40+$AG$41*_dat80[[#This Row],[DecDate]]+_dat80[[#This Row],[DecDate^2]]*$AG$42</f>
        <v>6.7391806049848526</v>
      </c>
      <c r="N22" s="2">
        <f>_dat80[[#This Row],[LOG(Expenditure 80)]]-_dat80[[#This Row],[Linear Trend LOG]]</f>
        <v>4.224261710208399E-2</v>
      </c>
      <c r="O22" s="2">
        <f t="shared" si="0"/>
        <v>2.235551701862981E-3</v>
      </c>
      <c r="P22" s="2">
        <f>_dat80[[#This Row],[Cycle 80]]+_dat80[[#This Row],[Linear Trend LOG]]</f>
        <v>6.7410505605359585</v>
      </c>
      <c r="Q22" s="2">
        <f>_dat80[[#This Row],[Detrend(Linear)]]-_dat80[[#This Row],[Cycle 80]]</f>
        <v>4.000706540022101E-2</v>
      </c>
      <c r="R22" s="2">
        <f>AVERAGEIF(_dat80[Quarter],_dat80[[#This Row],[Quarter]],_dat80[High Frequency])</f>
        <v>3.3009459236017259E-2</v>
      </c>
      <c r="S22" s="2">
        <f>_dat80[[#This Row],[S0]]-AVERAGE($R$2:$R$5)</f>
        <v>3.2954640972867329E-2</v>
      </c>
    </row>
    <row r="23" spans="1:40" x14ac:dyDescent="0.35">
      <c r="A23">
        <v>1955</v>
      </c>
      <c r="B23" s="1">
        <f>DATE(_dat80[[#This Row],[Year]],_dat80[[#This Row],[Quarter]]*3-1,15)</f>
        <v>20224</v>
      </c>
      <c r="C23" s="2">
        <f>_dat80[[#This Row],[Year]]+(_dat80[[#This Row],[Quarter]]-1)/4+1/8</f>
        <v>1955.375</v>
      </c>
      <c r="D23" s="2">
        <f>_dat80[[#This Row],[DecDate]]^2</f>
        <v>3823491.390625</v>
      </c>
      <c r="E23">
        <v>2</v>
      </c>
      <c r="F23">
        <v>840</v>
      </c>
      <c r="G23">
        <f>LN(_dat80[[#This Row],[Expenditure]])</f>
        <v>6.7334018918373593</v>
      </c>
      <c r="H23">
        <f>_dat80[[#This Row],[LOG(Expenditure 80)]]-G22</f>
        <v>-4.7655734098820624E-2</v>
      </c>
      <c r="I23">
        <f>(1+(_dat80[[#This Row],[Expenditure]]-F22)/F22)^12-1</f>
        <v>-0.43553043351598653</v>
      </c>
      <c r="J23" s="2">
        <f>$W$17+$W$18*_dat80[[#This Row],[DecDate]]</f>
        <v>833.17028449289865</v>
      </c>
      <c r="K23" s="2">
        <f>$W$40+$W$41*_dat80[[#This Row],[DecDate]]+_dat80[[#This Row],[DecDate^2]]*$W$42</f>
        <v>847.16074542187562</v>
      </c>
      <c r="L23" s="2">
        <f>$AG$17+_dat80[[#This Row],[DecDate]]*$AG$18</f>
        <v>6.7406303830064731</v>
      </c>
      <c r="M23" s="2">
        <f>$AG$40+$AG$41*_dat80[[#This Row],[DecDate]]+_dat80[[#This Row],[DecDate^2]]*$AG$42</f>
        <v>6.7409849762635004</v>
      </c>
      <c r="N23" s="2">
        <f>_dat80[[#This Row],[LOG(Expenditure 80)]]-_dat80[[#This Row],[Linear Trend LOG]]</f>
        <v>-7.2284911691138376E-3</v>
      </c>
      <c r="O23" s="2">
        <f t="shared" si="0"/>
        <v>-6.0590933492647991E-3</v>
      </c>
      <c r="P23" s="2">
        <f>_dat80[[#This Row],[Cycle 80]]+_dat80[[#This Row],[Linear Trend LOG]]</f>
        <v>6.7345712896572083</v>
      </c>
      <c r="Q23" s="2">
        <f>_dat80[[#This Row],[Detrend(Linear)]]-_dat80[[#This Row],[Cycle 80]]</f>
        <v>-1.1693978198490385E-3</v>
      </c>
      <c r="R23" s="2">
        <f>AVERAGEIF(_dat80[Quarter],_dat80[[#This Row],[Quarter]],_dat80[High Frequency])</f>
        <v>-7.1142253495101353E-3</v>
      </c>
      <c r="S23" s="2">
        <f>_dat80[[#This Row],[S0]]-AVERAGE($R$2:$R$5)</f>
        <v>-7.1690436126600685E-3</v>
      </c>
    </row>
    <row r="24" spans="1:40" x14ac:dyDescent="0.35">
      <c r="A24">
        <v>1955</v>
      </c>
      <c r="B24" s="1">
        <f>DATE(_dat80[[#This Row],[Year]],_dat80[[#This Row],[Quarter]]*3-1,15)</f>
        <v>20316</v>
      </c>
      <c r="C24" s="2">
        <f>_dat80[[#This Row],[Year]]+(_dat80[[#This Row],[Quarter]]-1)/4+1/8</f>
        <v>1955.625</v>
      </c>
      <c r="D24" s="2">
        <f>_dat80[[#This Row],[DecDate]]^2</f>
        <v>3824469.140625</v>
      </c>
      <c r="E24">
        <v>3</v>
      </c>
      <c r="F24">
        <v>859</v>
      </c>
      <c r="G24">
        <f>LN(_dat80[[#This Row],[Expenditure]])</f>
        <v>6.7557689219842549</v>
      </c>
      <c r="H24">
        <f>_dat80[[#This Row],[LOG(Expenditure 80)]]-G23</f>
        <v>2.2367030146895672E-2</v>
      </c>
      <c r="I24">
        <f>(1+(_dat80[[#This Row],[Expenditure]]-F23)/F23)^12-1</f>
        <v>0.3078758881045518</v>
      </c>
      <c r="J24" s="2">
        <f>$W$17+$W$18*_dat80[[#This Row],[DecDate]]</f>
        <v>835.09450397755791</v>
      </c>
      <c r="K24" s="2">
        <f>$W$40+$W$41*_dat80[[#This Row],[DecDate]]+_dat80[[#This Row],[DecDate^2]]*$W$42</f>
        <v>848.6544339893444</v>
      </c>
      <c r="L24" s="2">
        <f>$AG$17+_dat80[[#This Row],[DecDate]]*$AG$18</f>
        <v>6.7424457571788503</v>
      </c>
      <c r="M24" s="2">
        <f>$AG$40+$AG$41*_dat80[[#This Row],[DecDate]]+_dat80[[#This Row],[DecDate^2]]*$AG$42</f>
        <v>6.7427894384751523</v>
      </c>
      <c r="N24" s="2">
        <f>_dat80[[#This Row],[LOG(Expenditure 80)]]-_dat80[[#This Row],[Linear Trend LOG]]</f>
        <v>1.332316480540463E-2</v>
      </c>
      <c r="O24" s="2">
        <f t="shared" si="0"/>
        <v>1.2601953859071636E-2</v>
      </c>
      <c r="P24" s="2">
        <f>_dat80[[#This Row],[Cycle 80]]+_dat80[[#This Row],[Linear Trend LOG]]</f>
        <v>6.7550477110379221</v>
      </c>
      <c r="Q24" s="2">
        <f>_dat80[[#This Row],[Detrend(Linear)]]-_dat80[[#This Row],[Cycle 80]]</f>
        <v>7.2121094633299451E-4</v>
      </c>
      <c r="R24" s="2">
        <f>AVERAGEIF(_dat80[Quarter],_dat80[[#This Row],[Quarter]],_dat80[High Frequency])</f>
        <v>3.946848336706609E-3</v>
      </c>
      <c r="S24" s="2">
        <f>_dat80[[#This Row],[S0]]-AVERAGE($R$2:$R$5)</f>
        <v>3.8920300735566758E-3</v>
      </c>
      <c r="V24" t="s">
        <v>9</v>
      </c>
      <c r="AF24" t="s">
        <v>9</v>
      </c>
    </row>
    <row r="25" spans="1:40" ht="15" thickBot="1" x14ac:dyDescent="0.4">
      <c r="A25">
        <v>1955</v>
      </c>
      <c r="B25" s="1">
        <f>DATE(_dat80[[#This Row],[Year]],_dat80[[#This Row],[Quarter]]*3-1,15)</f>
        <v>20408</v>
      </c>
      <c r="C25" s="2">
        <f>_dat80[[#This Row],[Year]]+(_dat80[[#This Row],[Quarter]]-1)/4+1/8</f>
        <v>1955.875</v>
      </c>
      <c r="D25" s="2">
        <f>_dat80[[#This Row],[DecDate]]^2</f>
        <v>3825447.015625</v>
      </c>
      <c r="E25">
        <v>4</v>
      </c>
      <c r="F25">
        <v>820</v>
      </c>
      <c r="G25">
        <f>LN(_dat80[[#This Row],[Expenditure]])</f>
        <v>6.7093043402582984</v>
      </c>
      <c r="H25">
        <f>_dat80[[#This Row],[LOG(Expenditure 80)]]-G24</f>
        <v>-4.6464581725956577E-2</v>
      </c>
      <c r="I25">
        <f>(1+(_dat80[[#This Row],[Expenditure]]-F24)/F24)^12-1</f>
        <v>-0.42740406223522664</v>
      </c>
      <c r="J25" s="2">
        <f>$W$17+$W$18*_dat80[[#This Row],[DecDate]]</f>
        <v>837.01872346221717</v>
      </c>
      <c r="K25" s="2">
        <f>$W$40+$W$41*_dat80[[#This Row],[DecDate]]+_dat80[[#This Row],[DecDate^2]]*$W$42</f>
        <v>850.15171031448699</v>
      </c>
      <c r="L25" s="2">
        <f>$AG$17+_dat80[[#This Row],[DecDate]]*$AG$18</f>
        <v>6.7442611313512257</v>
      </c>
      <c r="M25" s="2">
        <f>$AG$40+$AG$41*_dat80[[#This Row],[DecDate]]+_dat80[[#This Row],[DecDate^2]]*$AG$42</f>
        <v>6.7445939916198121</v>
      </c>
      <c r="N25" s="2">
        <f>_dat80[[#This Row],[LOG(Expenditure 80)]]-_dat80[[#This Row],[Linear Trend LOG]]</f>
        <v>-3.4956791092927375E-2</v>
      </c>
      <c r="O25" s="2">
        <f t="shared" si="0"/>
        <v>2.4423799708936044E-3</v>
      </c>
      <c r="P25" s="2">
        <f>_dat80[[#This Row],[Cycle 80]]+_dat80[[#This Row],[Linear Trend LOG]]</f>
        <v>6.746703511322119</v>
      </c>
      <c r="Q25" s="2">
        <f>_dat80[[#This Row],[Detrend(Linear)]]-_dat80[[#This Row],[Cycle 80]]</f>
        <v>-3.7399171063820978E-2</v>
      </c>
      <c r="R25" s="2">
        <f>AVERAGEIF(_dat80[Quarter],_dat80[[#This Row],[Quarter]],_dat80[High Frequency])</f>
        <v>-2.9622809170614002E-2</v>
      </c>
      <c r="S25" s="2">
        <f>_dat80[[#This Row],[S0]]-AVERAGE($R$2:$R$5)</f>
        <v>-2.9677627433763936E-2</v>
      </c>
    </row>
    <row r="26" spans="1:40" x14ac:dyDescent="0.35">
      <c r="A26">
        <v>1956</v>
      </c>
      <c r="B26" s="1">
        <f>DATE(_dat80[[#This Row],[Year]],_dat80[[#This Row],[Quarter]]*3-1,15)</f>
        <v>20500</v>
      </c>
      <c r="C26" s="2">
        <f>_dat80[[#This Row],[Year]]+(_dat80[[#This Row],[Quarter]]-1)/4+1/8</f>
        <v>1956.125</v>
      </c>
      <c r="D26" s="2">
        <f>_dat80[[#This Row],[DecDate]]^2</f>
        <v>3826425.015625</v>
      </c>
      <c r="E26">
        <v>1</v>
      </c>
      <c r="F26">
        <v>894</v>
      </c>
      <c r="G26">
        <f>LN(_dat80[[#This Row],[Expenditure]])</f>
        <v>6.7957057751735137</v>
      </c>
      <c r="H26">
        <f>_dat80[[#This Row],[LOG(Expenditure 80)]]-G25</f>
        <v>8.6401434915215347E-2</v>
      </c>
      <c r="I26">
        <f>(1+(_dat80[[#This Row],[Expenditure]]-F25)/F25)^12-1</f>
        <v>1.8202265510715856</v>
      </c>
      <c r="J26" s="2">
        <f>$W$17+$W$18*_dat80[[#This Row],[DecDate]]</f>
        <v>838.94294294687643</v>
      </c>
      <c r="K26" s="2">
        <f>$W$40+$W$41*_dat80[[#This Row],[DecDate]]+_dat80[[#This Row],[DecDate^2]]*$W$42</f>
        <v>851.65257439728884</v>
      </c>
      <c r="L26" s="2">
        <f>$AG$17+_dat80[[#This Row],[DecDate]]*$AG$18</f>
        <v>6.7460765055236029</v>
      </c>
      <c r="M26" s="2">
        <f>$AG$40+$AG$41*_dat80[[#This Row],[DecDate]]+_dat80[[#This Row],[DecDate^2]]*$AG$42</f>
        <v>6.7463986356974761</v>
      </c>
      <c r="N26" s="2">
        <f>_dat80[[#This Row],[LOG(Expenditure 80)]]-_dat80[[#This Row],[Linear Trend LOG]]</f>
        <v>4.9629269649910768E-2</v>
      </c>
      <c r="O26" s="2">
        <f t="shared" si="0"/>
        <v>4.8674473286373756E-3</v>
      </c>
      <c r="P26" s="2">
        <f>_dat80[[#This Row],[Cycle 80]]+_dat80[[#This Row],[Linear Trend LOG]]</f>
        <v>6.7509439528522401</v>
      </c>
      <c r="Q26" s="2">
        <f>_dat80[[#This Row],[Detrend(Linear)]]-_dat80[[#This Row],[Cycle 80]]</f>
        <v>4.476182232127339E-2</v>
      </c>
      <c r="R26" s="2">
        <f>AVERAGEIF(_dat80[Quarter],_dat80[[#This Row],[Quarter]],_dat80[High Frequency])</f>
        <v>3.3009459236017259E-2</v>
      </c>
      <c r="S26" s="2">
        <f>_dat80[[#This Row],[S0]]-AVERAGE($R$2:$R$5)</f>
        <v>3.2954640972867329E-2</v>
      </c>
      <c r="V26" s="6" t="s">
        <v>10</v>
      </c>
      <c r="W26" s="6"/>
      <c r="AF26" s="6" t="s">
        <v>10</v>
      </c>
      <c r="AG26" s="6"/>
    </row>
    <row r="27" spans="1:40" x14ac:dyDescent="0.35">
      <c r="A27">
        <v>1956</v>
      </c>
      <c r="B27" s="1">
        <f>DATE(_dat80[[#This Row],[Year]],_dat80[[#This Row],[Quarter]]*3-1,15)</f>
        <v>20590</v>
      </c>
      <c r="C27" s="2">
        <f>_dat80[[#This Row],[Year]]+(_dat80[[#This Row],[Quarter]]-1)/4+1/8</f>
        <v>1956.375</v>
      </c>
      <c r="D27" s="2">
        <f>_dat80[[#This Row],[DecDate]]^2</f>
        <v>3827403.140625</v>
      </c>
      <c r="E27">
        <v>2</v>
      </c>
      <c r="F27">
        <v>845</v>
      </c>
      <c r="G27">
        <f>LN(_dat80[[#This Row],[Expenditure]])</f>
        <v>6.739336627357174</v>
      </c>
      <c r="H27">
        <f>_dat80[[#This Row],[LOG(Expenditure 80)]]-G26</f>
        <v>-5.6369147816339726E-2</v>
      </c>
      <c r="I27">
        <f>(1+(_dat80[[#This Row],[Expenditure]]-F26)/F26)^12-1</f>
        <v>-0.49157103772638611</v>
      </c>
      <c r="J27" s="2">
        <f>$W$17+$W$18*_dat80[[#This Row],[DecDate]]</f>
        <v>840.86716243153751</v>
      </c>
      <c r="K27" s="2">
        <f>$W$40+$W$41*_dat80[[#This Row],[DecDate]]+_dat80[[#This Row],[DecDate^2]]*$W$42</f>
        <v>853.15702623772086</v>
      </c>
      <c r="L27" s="2">
        <f>$AG$17+_dat80[[#This Row],[DecDate]]*$AG$18</f>
        <v>6.7478918796959801</v>
      </c>
      <c r="M27" s="2">
        <f>$AG$40+$AG$41*_dat80[[#This Row],[DecDate]]+_dat80[[#This Row],[DecDate^2]]*$AG$42</f>
        <v>6.7482033707081461</v>
      </c>
      <c r="N27" s="2">
        <f>_dat80[[#This Row],[LOG(Expenditure 80)]]-_dat80[[#This Row],[Linear Trend LOG]]</f>
        <v>-8.555252338806163E-3</v>
      </c>
      <c r="O27" s="2">
        <f t="shared" si="0"/>
        <v>-5.7536322293541883E-3</v>
      </c>
      <c r="P27" s="2">
        <f>_dat80[[#This Row],[Cycle 80]]+_dat80[[#This Row],[Linear Trend LOG]]</f>
        <v>6.7421382474666256</v>
      </c>
      <c r="Q27" s="2">
        <f>_dat80[[#This Row],[Detrend(Linear)]]-_dat80[[#This Row],[Cycle 80]]</f>
        <v>-2.8016201094519747E-3</v>
      </c>
      <c r="R27" s="2">
        <f>AVERAGEIF(_dat80[Quarter],_dat80[[#This Row],[Quarter]],_dat80[High Frequency])</f>
        <v>-7.1142253495101353E-3</v>
      </c>
      <c r="S27" s="2">
        <f>_dat80[[#This Row],[S0]]-AVERAGE($R$2:$R$5)</f>
        <v>-7.1690436126600685E-3</v>
      </c>
      <c r="V27" s="3" t="s">
        <v>11</v>
      </c>
      <c r="W27" s="3">
        <v>0.98560615394226092</v>
      </c>
      <c r="AF27" s="3" t="s">
        <v>11</v>
      </c>
      <c r="AG27" s="3">
        <v>0.98484673385354682</v>
      </c>
    </row>
    <row r="28" spans="1:40" x14ac:dyDescent="0.35">
      <c r="A28">
        <v>1956</v>
      </c>
      <c r="B28" s="1">
        <f>DATE(_dat80[[#This Row],[Year]],_dat80[[#This Row],[Quarter]]*3-1,15)</f>
        <v>20682</v>
      </c>
      <c r="C28" s="2">
        <f>_dat80[[#This Row],[Year]]+(_dat80[[#This Row],[Quarter]]-1)/4+1/8</f>
        <v>1956.625</v>
      </c>
      <c r="D28" s="2">
        <f>_dat80[[#This Row],[DecDate]]^2</f>
        <v>3828381.390625</v>
      </c>
      <c r="E28">
        <v>3</v>
      </c>
      <c r="F28">
        <v>858</v>
      </c>
      <c r="G28">
        <f>LN(_dat80[[#This Row],[Expenditure]])</f>
        <v>6.7546040994879624</v>
      </c>
      <c r="H28">
        <f>_dat80[[#This Row],[LOG(Expenditure 80)]]-G27</f>
        <v>1.5267472130788384E-2</v>
      </c>
      <c r="I28">
        <f>(1+(_dat80[[#This Row],[Expenditure]]-F27)/F27)^12-1</f>
        <v>0.20106620391305352</v>
      </c>
      <c r="J28" s="2">
        <f>$W$17+$W$18*_dat80[[#This Row],[DecDate]]</f>
        <v>842.79138191619677</v>
      </c>
      <c r="K28" s="2">
        <f>$W$40+$W$41*_dat80[[#This Row],[DecDate]]+_dat80[[#This Row],[DecDate^2]]*$W$42</f>
        <v>854.66506583576847</v>
      </c>
      <c r="L28" s="2">
        <f>$AG$17+_dat80[[#This Row],[DecDate]]*$AG$18</f>
        <v>6.7497072538683573</v>
      </c>
      <c r="M28" s="2">
        <f>$AG$40+$AG$41*_dat80[[#This Row],[DecDate]]+_dat80[[#This Row],[DecDate^2]]*$AG$42</f>
        <v>6.7500081966518248</v>
      </c>
      <c r="N28" s="2">
        <f>_dat80[[#This Row],[LOG(Expenditure 80)]]-_dat80[[#This Row],[Linear Trend LOG]]</f>
        <v>4.896845619605017E-3</v>
      </c>
      <c r="O28" s="2">
        <f t="shared" si="0"/>
        <v>9.4874417219090283E-3</v>
      </c>
      <c r="P28" s="2">
        <f>_dat80[[#This Row],[Cycle 80]]+_dat80[[#This Row],[Linear Trend LOG]]</f>
        <v>6.7591946955902662</v>
      </c>
      <c r="Q28" s="2">
        <f>_dat80[[#This Row],[Detrend(Linear)]]-_dat80[[#This Row],[Cycle 80]]</f>
        <v>-4.5905961023040114E-3</v>
      </c>
      <c r="R28" s="2">
        <f>AVERAGEIF(_dat80[Quarter],_dat80[[#This Row],[Quarter]],_dat80[High Frequency])</f>
        <v>3.946848336706609E-3</v>
      </c>
      <c r="S28" s="2">
        <f>_dat80[[#This Row],[S0]]-AVERAGE($R$2:$R$5)</f>
        <v>3.8920300735566758E-3</v>
      </c>
      <c r="V28" s="3" t="s">
        <v>12</v>
      </c>
      <c r="W28" s="3">
        <v>0.9714194906888558</v>
      </c>
      <c r="AF28" s="3" t="s">
        <v>12</v>
      </c>
      <c r="AG28" s="3">
        <v>0.96992308918199899</v>
      </c>
    </row>
    <row r="29" spans="1:40" x14ac:dyDescent="0.35">
      <c r="A29">
        <v>1956</v>
      </c>
      <c r="B29" s="1">
        <f>DATE(_dat80[[#This Row],[Year]],_dat80[[#This Row],[Quarter]]*3-1,15)</f>
        <v>20774</v>
      </c>
      <c r="C29" s="2">
        <f>_dat80[[#This Row],[Year]]+(_dat80[[#This Row],[Quarter]]-1)/4+1/8</f>
        <v>1956.875</v>
      </c>
      <c r="D29" s="2">
        <f>_dat80[[#This Row],[DecDate]]^2</f>
        <v>3829359.765625</v>
      </c>
      <c r="E29">
        <v>4</v>
      </c>
      <c r="F29">
        <v>822</v>
      </c>
      <c r="G29">
        <f>LN(_dat80[[#This Row],[Expenditure]])</f>
        <v>6.7117403950561796</v>
      </c>
      <c r="H29">
        <f>_dat80[[#This Row],[LOG(Expenditure 80)]]-G28</f>
        <v>-4.2863704431782779E-2</v>
      </c>
      <c r="I29">
        <f>(1+(_dat80[[#This Row],[Expenditure]]-F28)/F28)^12-1</f>
        <v>-0.40211954508301861</v>
      </c>
      <c r="J29" s="2">
        <f>$W$17+$W$18*_dat80[[#This Row],[DecDate]]</f>
        <v>844.71560140085603</v>
      </c>
      <c r="K29" s="2">
        <f>$W$40+$W$41*_dat80[[#This Row],[DecDate]]+_dat80[[#This Row],[DecDate^2]]*$W$42</f>
        <v>856.17669319147535</v>
      </c>
      <c r="L29" s="2">
        <f>$AG$17+_dat80[[#This Row],[DecDate]]*$AG$18</f>
        <v>6.7515226280407328</v>
      </c>
      <c r="M29" s="2">
        <f>$AG$40+$AG$41*_dat80[[#This Row],[DecDate]]+_dat80[[#This Row],[DecDate^2]]*$AG$42</f>
        <v>6.751813113528506</v>
      </c>
      <c r="N29" s="2">
        <f>_dat80[[#This Row],[LOG(Expenditure 80)]]-_dat80[[#This Row],[Linear Trend LOG]]</f>
        <v>-3.978223298455319E-2</v>
      </c>
      <c r="O29" s="2">
        <f t="shared" si="0"/>
        <v>-3.6017620137357652E-3</v>
      </c>
      <c r="P29" s="2">
        <f>_dat80[[#This Row],[Cycle 80]]+_dat80[[#This Row],[Linear Trend LOG]]</f>
        <v>6.7479208660269974</v>
      </c>
      <c r="Q29" s="2">
        <f>_dat80[[#This Row],[Detrend(Linear)]]-_dat80[[#This Row],[Cycle 80]]</f>
        <v>-3.6180470970817426E-2</v>
      </c>
      <c r="R29" s="2">
        <f>AVERAGEIF(_dat80[Quarter],_dat80[[#This Row],[Quarter]],_dat80[High Frequency])</f>
        <v>-2.9622809170614002E-2</v>
      </c>
      <c r="S29" s="2">
        <f>_dat80[[#This Row],[S0]]-AVERAGE($R$2:$R$5)</f>
        <v>-2.9677627433763936E-2</v>
      </c>
      <c r="V29" s="3" t="s">
        <v>13</v>
      </c>
      <c r="W29" s="3">
        <v>0.9712160706937587</v>
      </c>
      <c r="AF29" s="3" t="s">
        <v>13</v>
      </c>
      <c r="AG29" s="3">
        <v>0.96970901864236903</v>
      </c>
    </row>
    <row r="30" spans="1:40" x14ac:dyDescent="0.35">
      <c r="A30">
        <v>1957</v>
      </c>
      <c r="B30" s="1">
        <f>DATE(_dat80[[#This Row],[Year]],_dat80[[#This Row],[Quarter]]*3-1,15)</f>
        <v>20866</v>
      </c>
      <c r="C30" s="2">
        <f>_dat80[[#This Row],[Year]]+(_dat80[[#This Row],[Quarter]]-1)/4+1/8</f>
        <v>1957.125</v>
      </c>
      <c r="D30" s="2">
        <f>_dat80[[#This Row],[DecDate]]^2</f>
        <v>3830338.265625</v>
      </c>
      <c r="E30">
        <v>1</v>
      </c>
      <c r="F30">
        <v>893</v>
      </c>
      <c r="G30">
        <f>LN(_dat80[[#This Row],[Expenditure]])</f>
        <v>6.7945865808764987</v>
      </c>
      <c r="H30">
        <f>_dat80[[#This Row],[LOG(Expenditure 80)]]-G29</f>
        <v>8.2846185820319107E-2</v>
      </c>
      <c r="I30">
        <f>(1+(_dat80[[#This Row],[Expenditure]]-F29)/F29)^12-1</f>
        <v>1.7024377332596479</v>
      </c>
      <c r="J30" s="2">
        <f>$W$17+$W$18*_dat80[[#This Row],[DecDate]]</f>
        <v>846.63982088551529</v>
      </c>
      <c r="K30" s="2">
        <f>$W$40+$W$41*_dat80[[#This Row],[DecDate]]+_dat80[[#This Row],[DecDate^2]]*$W$42</f>
        <v>857.69190830484149</v>
      </c>
      <c r="L30" s="2">
        <f>$AG$17+_dat80[[#This Row],[DecDate]]*$AG$18</f>
        <v>6.75333800221311</v>
      </c>
      <c r="M30" s="2">
        <f>$AG$40+$AG$41*_dat80[[#This Row],[DecDate]]+_dat80[[#This Row],[DecDate^2]]*$AG$42</f>
        <v>6.7536181213381958</v>
      </c>
      <c r="N30" s="2">
        <f>_dat80[[#This Row],[LOG(Expenditure 80)]]-_dat80[[#This Row],[Linear Trend LOG]]</f>
        <v>4.1248578663388713E-2</v>
      </c>
      <c r="O30" s="2">
        <f t="shared" si="0"/>
        <v>-4.6118725476951281E-5</v>
      </c>
      <c r="P30" s="2">
        <f>_dat80[[#This Row],[Cycle 80]]+_dat80[[#This Row],[Linear Trend LOG]]</f>
        <v>6.7532918834876332</v>
      </c>
      <c r="Q30" s="2">
        <f>_dat80[[#This Row],[Detrend(Linear)]]-_dat80[[#This Row],[Cycle 80]]</f>
        <v>4.1294697388865667E-2</v>
      </c>
      <c r="R30" s="2">
        <f>AVERAGEIF(_dat80[Quarter],_dat80[[#This Row],[Quarter]],_dat80[High Frequency])</f>
        <v>3.3009459236017259E-2</v>
      </c>
      <c r="S30" s="2">
        <f>_dat80[[#This Row],[S0]]-AVERAGE($R$2:$R$5)</f>
        <v>3.2954640972867329E-2</v>
      </c>
      <c r="V30" s="3" t="s">
        <v>14</v>
      </c>
      <c r="W30" s="3">
        <v>27.266512633203597</v>
      </c>
      <c r="AF30" s="3" t="s">
        <v>14</v>
      </c>
      <c r="AG30" s="3">
        <v>2.6347892609074938E-2</v>
      </c>
    </row>
    <row r="31" spans="1:40" ht="15" thickBot="1" x14ac:dyDescent="0.4">
      <c r="A31">
        <v>1957</v>
      </c>
      <c r="B31" s="1">
        <f>DATE(_dat80[[#This Row],[Year]],_dat80[[#This Row],[Quarter]]*3-1,15)</f>
        <v>20955</v>
      </c>
      <c r="C31" s="2">
        <f>_dat80[[#This Row],[Year]]+(_dat80[[#This Row],[Quarter]]-1)/4+1/8</f>
        <v>1957.375</v>
      </c>
      <c r="D31" s="2">
        <f>_dat80[[#This Row],[DecDate]]^2</f>
        <v>3831316.890625</v>
      </c>
      <c r="E31">
        <v>2</v>
      </c>
      <c r="F31">
        <v>845</v>
      </c>
      <c r="G31">
        <f>LN(_dat80[[#This Row],[Expenditure]])</f>
        <v>6.739336627357174</v>
      </c>
      <c r="H31">
        <f>_dat80[[#This Row],[LOG(Expenditure 80)]]-G30</f>
        <v>-5.5249953519324713E-2</v>
      </c>
      <c r="I31">
        <f>(1+(_dat80[[#This Row],[Expenditure]]-F30)/F30)^12-1</f>
        <v>-0.48469660858514596</v>
      </c>
      <c r="J31" s="2">
        <f>$W$17+$W$18*_dat80[[#This Row],[DecDate]]</f>
        <v>848.56404037017455</v>
      </c>
      <c r="K31" s="2">
        <f>$W$40+$W$41*_dat80[[#This Row],[DecDate]]+_dat80[[#This Row],[DecDate^2]]*$W$42</f>
        <v>859.21071117585234</v>
      </c>
      <c r="L31" s="2">
        <f>$AG$17+_dat80[[#This Row],[DecDate]]*$AG$18</f>
        <v>6.7551533763854872</v>
      </c>
      <c r="M31" s="2">
        <f>$AG$40+$AG$41*_dat80[[#This Row],[DecDate]]+_dat80[[#This Row],[DecDate^2]]*$AG$42</f>
        <v>6.7554232200808908</v>
      </c>
      <c r="N31" s="2">
        <f>_dat80[[#This Row],[LOG(Expenditure 80)]]-_dat80[[#This Row],[Linear Trend LOG]]</f>
        <v>-1.5816749028313204E-2</v>
      </c>
      <c r="O31" s="2">
        <f t="shared" si="0"/>
        <v>-8.256353824356211E-3</v>
      </c>
      <c r="P31" s="2">
        <f>_dat80[[#This Row],[Cycle 80]]+_dat80[[#This Row],[Linear Trend LOG]]</f>
        <v>6.7468970225611313</v>
      </c>
      <c r="Q31" s="2">
        <f>_dat80[[#This Row],[Detrend(Linear)]]-_dat80[[#This Row],[Cycle 80]]</f>
        <v>-7.5603952039569929E-3</v>
      </c>
      <c r="R31" s="2">
        <f>AVERAGEIF(_dat80[Quarter],_dat80[[#This Row],[Quarter]],_dat80[High Frequency])</f>
        <v>-7.1142253495101353E-3</v>
      </c>
      <c r="S31" s="2">
        <f>_dat80[[#This Row],[S0]]-AVERAGE($R$2:$R$5)</f>
        <v>-7.1690436126600685E-3</v>
      </c>
      <c r="V31" s="4" t="s">
        <v>15</v>
      </c>
      <c r="W31" s="4">
        <v>284</v>
      </c>
      <c r="AF31" s="4" t="s">
        <v>15</v>
      </c>
      <c r="AG31" s="4">
        <v>284</v>
      </c>
    </row>
    <row r="32" spans="1:40" x14ac:dyDescent="0.35">
      <c r="A32">
        <v>1957</v>
      </c>
      <c r="B32" s="1">
        <f>DATE(_dat80[[#This Row],[Year]],_dat80[[#This Row],[Quarter]]*3-1,15)</f>
        <v>21047</v>
      </c>
      <c r="C32" s="2">
        <f>_dat80[[#This Row],[Year]]+(_dat80[[#This Row],[Quarter]]-1)/4+1/8</f>
        <v>1957.625</v>
      </c>
      <c r="D32" s="2">
        <f>_dat80[[#This Row],[DecDate]]^2</f>
        <v>3832295.640625</v>
      </c>
      <c r="E32">
        <v>3</v>
      </c>
      <c r="F32">
        <v>868</v>
      </c>
      <c r="G32">
        <f>LN(_dat80[[#This Row],[Expenditure]])</f>
        <v>6.7661917146603505</v>
      </c>
      <c r="H32">
        <f>_dat80[[#This Row],[LOG(Expenditure 80)]]-G31</f>
        <v>2.6855087303176539E-2</v>
      </c>
      <c r="I32">
        <f>(1+(_dat80[[#This Row],[Expenditure]]-F31)/F31)^12-1</f>
        <v>0.38024503863969805</v>
      </c>
      <c r="J32" s="2">
        <f>$W$17+$W$18*_dat80[[#This Row],[DecDate]]</f>
        <v>850.48825985483381</v>
      </c>
      <c r="K32" s="2">
        <f>$W$40+$W$41*_dat80[[#This Row],[DecDate]]+_dat80[[#This Row],[DecDate^2]]*$W$42</f>
        <v>860.73310180449334</v>
      </c>
      <c r="L32" s="2">
        <f>$AG$17+_dat80[[#This Row],[DecDate]]*$AG$18</f>
        <v>6.7569687505578626</v>
      </c>
      <c r="M32" s="2">
        <f>$AG$40+$AG$41*_dat80[[#This Row],[DecDate]]+_dat80[[#This Row],[DecDate^2]]*$AG$42</f>
        <v>6.7572284097565909</v>
      </c>
      <c r="N32" s="2">
        <f>_dat80[[#This Row],[LOG(Expenditure 80)]]-_dat80[[#This Row],[Linear Trend LOG]]</f>
        <v>9.2229641024879072E-3</v>
      </c>
      <c r="O32" s="2">
        <f t="shared" si="0"/>
        <v>7.6142066524710113E-3</v>
      </c>
      <c r="P32" s="2">
        <f>_dat80[[#This Row],[Cycle 80]]+_dat80[[#This Row],[Linear Trend LOG]]</f>
        <v>6.764582957210334</v>
      </c>
      <c r="Q32" s="2">
        <f>_dat80[[#This Row],[Detrend(Linear)]]-_dat80[[#This Row],[Cycle 80]]</f>
        <v>1.6087574500168959E-3</v>
      </c>
      <c r="R32" s="2">
        <f>AVERAGEIF(_dat80[Quarter],_dat80[[#This Row],[Quarter]],_dat80[High Frequency])</f>
        <v>3.946848336706609E-3</v>
      </c>
      <c r="S32" s="2">
        <f>_dat80[[#This Row],[S0]]-AVERAGE($R$2:$R$5)</f>
        <v>3.8920300735566758E-3</v>
      </c>
    </row>
    <row r="33" spans="1:40" ht="15" thickBot="1" x14ac:dyDescent="0.4">
      <c r="A33">
        <v>1957</v>
      </c>
      <c r="B33" s="1">
        <f>DATE(_dat80[[#This Row],[Year]],_dat80[[#This Row],[Quarter]]*3-1,15)</f>
        <v>21139</v>
      </c>
      <c r="C33" s="2">
        <f>_dat80[[#This Row],[Year]]+(_dat80[[#This Row],[Quarter]]-1)/4+1/8</f>
        <v>1957.875</v>
      </c>
      <c r="D33" s="2">
        <f>_dat80[[#This Row],[DecDate]]^2</f>
        <v>3833274.515625</v>
      </c>
      <c r="E33">
        <v>4</v>
      </c>
      <c r="F33">
        <v>831</v>
      </c>
      <c r="G33">
        <f>LN(_dat80[[#This Row],[Expenditure]])</f>
        <v>6.7226297948554485</v>
      </c>
      <c r="H33">
        <f>_dat80[[#This Row],[LOG(Expenditure 80)]]-G32</f>
        <v>-4.3561919804901983E-2</v>
      </c>
      <c r="I33">
        <f>(1+(_dat80[[#This Row],[Expenditure]]-F32)/F32)^12-1</f>
        <v>-0.40710800966323335</v>
      </c>
      <c r="J33" s="2">
        <f>$W$17+$W$18*_dat80[[#This Row],[DecDate]]</f>
        <v>852.41247933949307</v>
      </c>
      <c r="K33" s="2">
        <f>$W$40+$W$41*_dat80[[#This Row],[DecDate]]+_dat80[[#This Row],[DecDate^2]]*$W$42</f>
        <v>862.25908019076451</v>
      </c>
      <c r="L33" s="2">
        <f>$AG$17+_dat80[[#This Row],[DecDate]]*$AG$18</f>
        <v>6.7587841247302398</v>
      </c>
      <c r="M33" s="2">
        <f>$AG$40+$AG$41*_dat80[[#This Row],[DecDate]]+_dat80[[#This Row],[DecDate^2]]*$AG$42</f>
        <v>6.7590336903652997</v>
      </c>
      <c r="N33" s="2">
        <f>_dat80[[#This Row],[LOG(Expenditure 80)]]-_dat80[[#This Row],[Linear Trend LOG]]</f>
        <v>-3.615432987479128E-2</v>
      </c>
      <c r="O33" s="2">
        <f t="shared" si="0"/>
        <v>-3.6011783293425025E-3</v>
      </c>
      <c r="P33" s="2">
        <f>_dat80[[#This Row],[Cycle 80]]+_dat80[[#This Row],[Linear Trend LOG]]</f>
        <v>6.7551829464008977</v>
      </c>
      <c r="Q33" s="2">
        <f>_dat80[[#This Row],[Detrend(Linear)]]-_dat80[[#This Row],[Cycle 80]]</f>
        <v>-3.2553151545448779E-2</v>
      </c>
      <c r="R33" s="2">
        <f>AVERAGEIF(_dat80[Quarter],_dat80[[#This Row],[Quarter]],_dat80[High Frequency])</f>
        <v>-2.9622809170614002E-2</v>
      </c>
      <c r="S33" s="2">
        <f>_dat80[[#This Row],[S0]]-AVERAGE($R$2:$R$5)</f>
        <v>-2.9677627433763936E-2</v>
      </c>
      <c r="V33" t="s">
        <v>16</v>
      </c>
      <c r="AF33" t="s">
        <v>16</v>
      </c>
    </row>
    <row r="34" spans="1:40" x14ac:dyDescent="0.35">
      <c r="A34">
        <v>1958</v>
      </c>
      <c r="B34" s="1">
        <f>DATE(_dat80[[#This Row],[Year]],_dat80[[#This Row],[Quarter]]*3-1,15)</f>
        <v>21231</v>
      </c>
      <c r="C34" s="2">
        <f>_dat80[[#This Row],[Year]]+(_dat80[[#This Row],[Quarter]]-1)/4+1/8</f>
        <v>1958.125</v>
      </c>
      <c r="D34" s="2">
        <f>_dat80[[#This Row],[DecDate]]^2</f>
        <v>3834253.515625</v>
      </c>
      <c r="E34">
        <v>1</v>
      </c>
      <c r="F34">
        <v>898</v>
      </c>
      <c r="G34">
        <f>LN(_dat80[[#This Row],[Expenditure]])</f>
        <v>6.8001700683021999</v>
      </c>
      <c r="H34">
        <f>_dat80[[#This Row],[LOG(Expenditure 80)]]-G33</f>
        <v>7.7540273446751407E-2</v>
      </c>
      <c r="I34">
        <f>(1+(_dat80[[#This Row],[Expenditure]]-F33)/F33)^12-1</f>
        <v>1.535734354691503</v>
      </c>
      <c r="J34" s="2">
        <f>$W$17+$W$18*_dat80[[#This Row],[DecDate]]</f>
        <v>854.33669882415234</v>
      </c>
      <c r="K34" s="2">
        <f>$W$40+$W$41*_dat80[[#This Row],[DecDate]]+_dat80[[#This Row],[DecDate^2]]*$W$42</f>
        <v>863.78864633469493</v>
      </c>
      <c r="L34" s="2">
        <f>$AG$17+_dat80[[#This Row],[DecDate]]*$AG$18</f>
        <v>6.760599498902617</v>
      </c>
      <c r="M34" s="2">
        <f>$AG$40+$AG$41*_dat80[[#This Row],[DecDate]]+_dat80[[#This Row],[DecDate^2]]*$AG$42</f>
        <v>6.7608390619070118</v>
      </c>
      <c r="N34" s="2">
        <f>_dat80[[#This Row],[LOG(Expenditure 80)]]-_dat80[[#This Row],[Linear Trend LOG]]</f>
        <v>3.9570569399582922E-2</v>
      </c>
      <c r="O34" s="2">
        <f t="shared" si="0"/>
        <v>4.0595121478624206E-3</v>
      </c>
      <c r="P34" s="2">
        <f>_dat80[[#This Row],[Cycle 80]]+_dat80[[#This Row],[Linear Trend LOG]]</f>
        <v>6.7646590110504796</v>
      </c>
      <c r="Q34" s="2">
        <f>_dat80[[#This Row],[Detrend(Linear)]]-_dat80[[#This Row],[Cycle 80]]</f>
        <v>3.5511057251720504E-2</v>
      </c>
      <c r="R34" s="2">
        <f>AVERAGEIF(_dat80[Quarter],_dat80[[#This Row],[Quarter]],_dat80[High Frequency])</f>
        <v>3.3009459236017259E-2</v>
      </c>
      <c r="S34" s="2">
        <f>_dat80[[#This Row],[S0]]-AVERAGE($R$2:$R$5)</f>
        <v>3.2954640972867329E-2</v>
      </c>
      <c r="V34" s="5"/>
      <c r="W34" s="5" t="s">
        <v>21</v>
      </c>
      <c r="X34" s="5" t="s">
        <v>22</v>
      </c>
      <c r="Y34" s="5" t="s">
        <v>23</v>
      </c>
      <c r="Z34" s="5" t="s">
        <v>24</v>
      </c>
      <c r="AA34" s="5" t="s">
        <v>25</v>
      </c>
      <c r="AF34" s="5"/>
      <c r="AG34" s="5" t="s">
        <v>21</v>
      </c>
      <c r="AH34" s="5" t="s">
        <v>22</v>
      </c>
      <c r="AI34" s="5" t="s">
        <v>23</v>
      </c>
      <c r="AJ34" s="5" t="s">
        <v>24</v>
      </c>
      <c r="AK34" s="5" t="s">
        <v>25</v>
      </c>
    </row>
    <row r="35" spans="1:40" x14ac:dyDescent="0.35">
      <c r="A35">
        <v>1958</v>
      </c>
      <c r="B35" s="1">
        <f>DATE(_dat80[[#This Row],[Year]],_dat80[[#This Row],[Quarter]]*3-1,15)</f>
        <v>21320</v>
      </c>
      <c r="C35" s="2">
        <f>_dat80[[#This Row],[Year]]+(_dat80[[#This Row],[Quarter]]-1)/4+1/8</f>
        <v>1958.375</v>
      </c>
      <c r="D35" s="2">
        <f>_dat80[[#This Row],[DecDate]]^2</f>
        <v>3835232.640625</v>
      </c>
      <c r="E35">
        <v>2</v>
      </c>
      <c r="F35">
        <v>852</v>
      </c>
      <c r="G35">
        <f>LN(_dat80[[#This Row],[Expenditure]])</f>
        <v>6.7475865268293154</v>
      </c>
      <c r="H35">
        <f>_dat80[[#This Row],[LOG(Expenditure 80)]]-G34</f>
        <v>-5.2583541472884576E-2</v>
      </c>
      <c r="I35">
        <f>(1+(_dat80[[#This Row],[Expenditure]]-F34)/F34)^12-1</f>
        <v>-0.46794185349673345</v>
      </c>
      <c r="J35" s="2">
        <f>$W$17+$W$18*_dat80[[#This Row],[DecDate]]</f>
        <v>856.26091830881342</v>
      </c>
      <c r="K35" s="2">
        <f>$W$40+$W$41*_dat80[[#This Row],[DecDate]]+_dat80[[#This Row],[DecDate^2]]*$W$42</f>
        <v>865.32180023627006</v>
      </c>
      <c r="L35" s="2">
        <f>$AG$17+_dat80[[#This Row],[DecDate]]*$AG$18</f>
        <v>6.7624148730749942</v>
      </c>
      <c r="M35" s="2">
        <f>$AG$40+$AG$41*_dat80[[#This Row],[DecDate]]+_dat80[[#This Row],[DecDate^2]]*$AG$42</f>
        <v>6.7626445243817317</v>
      </c>
      <c r="N35" s="2">
        <f>_dat80[[#This Row],[LOG(Expenditure 80)]]-_dat80[[#This Row],[Linear Trend LOG]]</f>
        <v>-1.4828346245678858E-2</v>
      </c>
      <c r="O35" s="2">
        <f t="shared" si="0"/>
        <v>-7.1915740795326141E-3</v>
      </c>
      <c r="P35" s="2">
        <f>_dat80[[#This Row],[Cycle 80]]+_dat80[[#This Row],[Linear Trend LOG]]</f>
        <v>6.7552232989954613</v>
      </c>
      <c r="Q35" s="2">
        <f>_dat80[[#This Row],[Detrend(Linear)]]-_dat80[[#This Row],[Cycle 80]]</f>
        <v>-7.6367721661462443E-3</v>
      </c>
      <c r="R35" s="2">
        <f>AVERAGEIF(_dat80[Quarter],_dat80[[#This Row],[Quarter]],_dat80[High Frequency])</f>
        <v>-7.1142253495101353E-3</v>
      </c>
      <c r="S35" s="2">
        <f>_dat80[[#This Row],[S0]]-AVERAGE($R$2:$R$5)</f>
        <v>-7.1690436126600685E-3</v>
      </c>
      <c r="V35" s="3" t="s">
        <v>17</v>
      </c>
      <c r="W35" s="3">
        <v>2</v>
      </c>
      <c r="X35" s="3">
        <v>7100719.5521030193</v>
      </c>
      <c r="Y35" s="3">
        <v>3550359.7760515097</v>
      </c>
      <c r="Z35" s="3">
        <v>4775.437587760769</v>
      </c>
      <c r="AA35" s="3">
        <v>1.1962719149391658E-217</v>
      </c>
      <c r="AF35" s="3" t="s">
        <v>17</v>
      </c>
      <c r="AG35" s="3">
        <v>2</v>
      </c>
      <c r="AH35" s="3">
        <v>6.2907461286842263</v>
      </c>
      <c r="AI35" s="3">
        <v>3.1453730643421132</v>
      </c>
      <c r="AJ35" s="3">
        <v>4530.8574026994447</v>
      </c>
      <c r="AK35" s="3">
        <v>1.5551366079415182E-214</v>
      </c>
    </row>
    <row r="36" spans="1:40" x14ac:dyDescent="0.35">
      <c r="A36">
        <v>1958</v>
      </c>
      <c r="B36" s="1">
        <f>DATE(_dat80[[#This Row],[Year]],_dat80[[#This Row],[Quarter]]*3-1,15)</f>
        <v>21412</v>
      </c>
      <c r="C36" s="2">
        <f>_dat80[[#This Row],[Year]]+(_dat80[[#This Row],[Quarter]]-1)/4+1/8</f>
        <v>1958.625</v>
      </c>
      <c r="D36" s="2">
        <f>_dat80[[#This Row],[DecDate]]^2</f>
        <v>3836211.890625</v>
      </c>
      <c r="E36">
        <v>3</v>
      </c>
      <c r="F36">
        <v>886</v>
      </c>
      <c r="G36">
        <f>LN(_dat80[[#This Row],[Expenditure]])</f>
        <v>6.7867169506050811</v>
      </c>
      <c r="H36">
        <f>_dat80[[#This Row],[LOG(Expenditure 80)]]-G35</f>
        <v>3.9130423775765699E-2</v>
      </c>
      <c r="I36">
        <f>(1+(_dat80[[#This Row],[Expenditure]]-F35)/F35)^12-1</f>
        <v>0.59929848353565451</v>
      </c>
      <c r="J36" s="2">
        <f>$W$17+$W$18*_dat80[[#This Row],[DecDate]]</f>
        <v>858.18513779347268</v>
      </c>
      <c r="K36" s="2">
        <f>$W$40+$W$41*_dat80[[#This Row],[DecDate]]+_dat80[[#This Row],[DecDate^2]]*$W$42</f>
        <v>866.85854189548991</v>
      </c>
      <c r="L36" s="2">
        <f>$AG$17+_dat80[[#This Row],[DecDate]]*$AG$18</f>
        <v>6.7642302472473697</v>
      </c>
      <c r="M36" s="2">
        <f>$AG$40+$AG$41*_dat80[[#This Row],[DecDate]]+_dat80[[#This Row],[DecDate^2]]*$AG$42</f>
        <v>6.7644500777894558</v>
      </c>
      <c r="N36" s="2">
        <f>_dat80[[#This Row],[LOG(Expenditure 80)]]-_dat80[[#This Row],[Linear Trend LOG]]</f>
        <v>2.2486703357711413E-2</v>
      </c>
      <c r="O36" s="2">
        <f t="shared" si="0"/>
        <v>8.4955828000280679E-3</v>
      </c>
      <c r="P36" s="2">
        <f>_dat80[[#This Row],[Cycle 80]]+_dat80[[#This Row],[Linear Trend LOG]]</f>
        <v>6.7727258300473974</v>
      </c>
      <c r="Q36" s="2">
        <f>_dat80[[#This Row],[Detrend(Linear)]]-_dat80[[#This Row],[Cycle 80]]</f>
        <v>1.3991120557683345E-2</v>
      </c>
      <c r="R36" s="2">
        <f>AVERAGEIF(_dat80[Quarter],_dat80[[#This Row],[Quarter]],_dat80[High Frequency])</f>
        <v>3.946848336706609E-3</v>
      </c>
      <c r="S36" s="2">
        <f>_dat80[[#This Row],[S0]]-AVERAGE($R$2:$R$5)</f>
        <v>3.8920300735566758E-3</v>
      </c>
      <c r="V36" s="3" t="s">
        <v>18</v>
      </c>
      <c r="W36" s="3">
        <v>281</v>
      </c>
      <c r="X36" s="3">
        <v>208913.02184063903</v>
      </c>
      <c r="Y36" s="3">
        <v>743.4627111766514</v>
      </c>
      <c r="Z36" s="3"/>
      <c r="AA36" s="3"/>
      <c r="AF36" s="3" t="s">
        <v>18</v>
      </c>
      <c r="AG36" s="3">
        <v>281</v>
      </c>
      <c r="AH36" s="3">
        <v>0.19507341602795616</v>
      </c>
      <c r="AI36" s="3">
        <v>6.9421144493934581E-4</v>
      </c>
      <c r="AJ36" s="3"/>
      <c r="AK36" s="3"/>
    </row>
    <row r="37" spans="1:40" ht="15" thickBot="1" x14ac:dyDescent="0.4">
      <c r="A37">
        <v>1958</v>
      </c>
      <c r="B37" s="1">
        <f>DATE(_dat80[[#This Row],[Year]],_dat80[[#This Row],[Quarter]]*3-1,15)</f>
        <v>21504</v>
      </c>
      <c r="C37" s="2">
        <f>_dat80[[#This Row],[Year]]+(_dat80[[#This Row],[Quarter]]-1)/4+1/8</f>
        <v>1958.875</v>
      </c>
      <c r="D37" s="2">
        <f>_dat80[[#This Row],[DecDate]]^2</f>
        <v>3837191.265625</v>
      </c>
      <c r="E37">
        <v>4</v>
      </c>
      <c r="F37">
        <v>828</v>
      </c>
      <c r="G37">
        <f>LN(_dat80[[#This Row],[Expenditure]])</f>
        <v>6.7190131543852596</v>
      </c>
      <c r="H37">
        <f>_dat80[[#This Row],[LOG(Expenditure 80)]]-G36</f>
        <v>-6.7703796219821477E-2</v>
      </c>
      <c r="I37">
        <f>(1+(_dat80[[#This Row],[Expenditure]]-F36)/F36)^12-1</f>
        <v>-0.55622852927821065</v>
      </c>
      <c r="J37" s="2">
        <f>$W$17+$W$18*_dat80[[#This Row],[DecDate]]</f>
        <v>860.10935727813194</v>
      </c>
      <c r="K37" s="2">
        <f>$W$40+$W$41*_dat80[[#This Row],[DecDate]]+_dat80[[#This Row],[DecDate^2]]*$W$42</f>
        <v>868.39887131232535</v>
      </c>
      <c r="L37" s="2">
        <f>$AG$17+_dat80[[#This Row],[DecDate]]*$AG$18</f>
        <v>6.7660456214197469</v>
      </c>
      <c r="M37" s="2">
        <f>$AG$40+$AG$41*_dat80[[#This Row],[DecDate]]+_dat80[[#This Row],[DecDate^2]]*$AG$42</f>
        <v>6.766255722130186</v>
      </c>
      <c r="N37" s="2">
        <f>_dat80[[#This Row],[LOG(Expenditure 80)]]-_dat80[[#This Row],[Linear Trend LOG]]</f>
        <v>-4.7032467034487269E-2</v>
      </c>
      <c r="O37" s="2">
        <f t="shared" si="0"/>
        <v>-4.5419677705188736E-3</v>
      </c>
      <c r="P37" s="2">
        <f>_dat80[[#This Row],[Cycle 80]]+_dat80[[#This Row],[Linear Trend LOG]]</f>
        <v>6.7615036536492283</v>
      </c>
      <c r="Q37" s="2">
        <f>_dat80[[#This Row],[Detrend(Linear)]]-_dat80[[#This Row],[Cycle 80]]</f>
        <v>-4.2490499263968397E-2</v>
      </c>
      <c r="R37" s="2">
        <f>AVERAGEIF(_dat80[Quarter],_dat80[[#This Row],[Quarter]],_dat80[High Frequency])</f>
        <v>-2.9622809170614002E-2</v>
      </c>
      <c r="S37" s="2">
        <f>_dat80[[#This Row],[S0]]-AVERAGE($R$2:$R$5)</f>
        <v>-2.9677627433763936E-2</v>
      </c>
      <c r="V37" s="4" t="s">
        <v>19</v>
      </c>
      <c r="W37" s="4">
        <v>283</v>
      </c>
      <c r="X37" s="4">
        <v>7309632.5739436587</v>
      </c>
      <c r="Y37" s="4"/>
      <c r="Z37" s="4"/>
      <c r="AA37" s="4"/>
      <c r="AF37" s="4" t="s">
        <v>19</v>
      </c>
      <c r="AG37" s="4">
        <v>283</v>
      </c>
      <c r="AH37" s="4">
        <v>6.4858195447121822</v>
      </c>
      <c r="AI37" s="4"/>
      <c r="AJ37" s="4"/>
      <c r="AK37" s="4"/>
    </row>
    <row r="38" spans="1:40" ht="15" thickBot="1" x14ac:dyDescent="0.4">
      <c r="A38">
        <v>1959</v>
      </c>
      <c r="B38" s="1">
        <f>DATE(_dat80[[#This Row],[Year]],_dat80[[#This Row],[Quarter]]*3-1,15)</f>
        <v>21596</v>
      </c>
      <c r="C38" s="2">
        <f>_dat80[[#This Row],[Year]]+(_dat80[[#This Row],[Quarter]]-1)/4+1/8</f>
        <v>1959.125</v>
      </c>
      <c r="D38" s="2">
        <f>_dat80[[#This Row],[DecDate]]^2</f>
        <v>3838170.765625</v>
      </c>
      <c r="E38">
        <v>1</v>
      </c>
      <c r="F38">
        <v>907</v>
      </c>
      <c r="G38">
        <f>LN(_dat80[[#This Row],[Expenditure]])</f>
        <v>6.8101424501151362</v>
      </c>
      <c r="H38">
        <f>_dat80[[#This Row],[LOG(Expenditure 80)]]-G37</f>
        <v>9.1129295729876603E-2</v>
      </c>
      <c r="I38">
        <f>(1+(_dat80[[#This Row],[Expenditure]]-F37)/F37)^12-1</f>
        <v>1.9848561321802665</v>
      </c>
      <c r="J38" s="2">
        <f>$W$17+$W$18*_dat80[[#This Row],[DecDate]]</f>
        <v>862.0335767627912</v>
      </c>
      <c r="K38" s="2">
        <f>$W$40+$W$41*_dat80[[#This Row],[DecDate]]+_dat80[[#This Row],[DecDate^2]]*$W$42</f>
        <v>869.94278848683462</v>
      </c>
      <c r="L38" s="2">
        <f>$AG$17+_dat80[[#This Row],[DecDate]]*$AG$18</f>
        <v>6.7678609955921241</v>
      </c>
      <c r="M38" s="2">
        <f>$AG$40+$AG$41*_dat80[[#This Row],[DecDate]]+_dat80[[#This Row],[DecDate^2]]*$AG$42</f>
        <v>6.7680614574039248</v>
      </c>
      <c r="N38" s="2">
        <f>_dat80[[#This Row],[LOG(Expenditure 80)]]-_dat80[[#This Row],[Linear Trend LOG]]</f>
        <v>4.228145452301213E-2</v>
      </c>
      <c r="O38" s="2">
        <f t="shared" si="0"/>
        <v>2.3696452364786679E-3</v>
      </c>
      <c r="P38" s="2">
        <f>_dat80[[#This Row],[Cycle 80]]+_dat80[[#This Row],[Linear Trend LOG]]</f>
        <v>6.7702306408286024</v>
      </c>
      <c r="Q38" s="2">
        <f>_dat80[[#This Row],[Detrend(Linear)]]-_dat80[[#This Row],[Cycle 80]]</f>
        <v>3.9911809286533463E-2</v>
      </c>
      <c r="R38" s="2">
        <f>AVERAGEIF(_dat80[Quarter],_dat80[[#This Row],[Quarter]],_dat80[High Frequency])</f>
        <v>3.3009459236017259E-2</v>
      </c>
      <c r="S38" s="2">
        <f>_dat80[[#This Row],[S0]]-AVERAGE($R$2:$R$5)</f>
        <v>3.2954640972867329E-2</v>
      </c>
    </row>
    <row r="39" spans="1:40" x14ac:dyDescent="0.35">
      <c r="A39">
        <v>1959</v>
      </c>
      <c r="B39" s="1">
        <f>DATE(_dat80[[#This Row],[Year]],_dat80[[#This Row],[Quarter]]*3-1,15)</f>
        <v>21685</v>
      </c>
      <c r="C39" s="2">
        <f>_dat80[[#This Row],[Year]]+(_dat80[[#This Row],[Quarter]]-1)/4+1/8</f>
        <v>1959.375</v>
      </c>
      <c r="D39" s="2">
        <f>_dat80[[#This Row],[DecDate]]^2</f>
        <v>3839150.390625</v>
      </c>
      <c r="E39">
        <v>2</v>
      </c>
      <c r="F39">
        <v>849</v>
      </c>
      <c r="G39">
        <f>LN(_dat80[[#This Row],[Expenditure]])</f>
        <v>6.7440591863113477</v>
      </c>
      <c r="H39">
        <f>_dat80[[#This Row],[LOG(Expenditure 80)]]-G38</f>
        <v>-6.6083263803788483E-2</v>
      </c>
      <c r="I39">
        <f>(1+(_dat80[[#This Row],[Expenditure]]-F38)/F38)^12-1</f>
        <v>-0.54751432130936561</v>
      </c>
      <c r="J39" s="2">
        <f>$W$17+$W$18*_dat80[[#This Row],[DecDate]]</f>
        <v>863.95779624745046</v>
      </c>
      <c r="K39" s="2">
        <f>$W$40+$W$41*_dat80[[#This Row],[DecDate]]+_dat80[[#This Row],[DecDate^2]]*$W$42</f>
        <v>871.49029341897403</v>
      </c>
      <c r="L39" s="2">
        <f>$AG$17+_dat80[[#This Row],[DecDate]]*$AG$18</f>
        <v>6.7696763697644995</v>
      </c>
      <c r="M39" s="2">
        <f>$AG$40+$AG$41*_dat80[[#This Row],[DecDate]]+_dat80[[#This Row],[DecDate^2]]*$AG$42</f>
        <v>6.769867283610667</v>
      </c>
      <c r="N39" s="2">
        <f>_dat80[[#This Row],[LOG(Expenditure 80)]]-_dat80[[#This Row],[Linear Trend LOG]]</f>
        <v>-2.5617183453151782E-2</v>
      </c>
      <c r="O39" s="2">
        <f t="shared" si="0"/>
        <v>-8.6852471356698054E-3</v>
      </c>
      <c r="P39" s="2">
        <f>_dat80[[#This Row],[Cycle 80]]+_dat80[[#This Row],[Linear Trend LOG]]</f>
        <v>6.7609911226288295</v>
      </c>
      <c r="Q39" s="2">
        <f>_dat80[[#This Row],[Detrend(Linear)]]-_dat80[[#This Row],[Cycle 80]]</f>
        <v>-1.6931936317481976E-2</v>
      </c>
      <c r="R39" s="2">
        <f>AVERAGEIF(_dat80[Quarter],_dat80[[#This Row],[Quarter]],_dat80[High Frequency])</f>
        <v>-7.1142253495101353E-3</v>
      </c>
      <c r="S39" s="2">
        <f>_dat80[[#This Row],[S0]]-AVERAGE($R$2:$R$5)</f>
        <v>-7.1690436126600685E-3</v>
      </c>
      <c r="V39" s="5"/>
      <c r="W39" s="5" t="s">
        <v>26</v>
      </c>
      <c r="X39" s="5" t="s">
        <v>14</v>
      </c>
      <c r="Y39" s="5" t="s">
        <v>27</v>
      </c>
      <c r="Z39" s="5" t="s">
        <v>28</v>
      </c>
      <c r="AA39" s="5" t="s">
        <v>29</v>
      </c>
      <c r="AB39" s="5" t="s">
        <v>30</v>
      </c>
      <c r="AC39" s="5" t="s">
        <v>31</v>
      </c>
      <c r="AD39" s="5" t="s">
        <v>32</v>
      </c>
      <c r="AF39" s="5"/>
      <c r="AG39" s="5" t="s">
        <v>26</v>
      </c>
      <c r="AH39" s="5" t="s">
        <v>14</v>
      </c>
      <c r="AI39" s="5" t="s">
        <v>27</v>
      </c>
      <c r="AJ39" s="5" t="s">
        <v>28</v>
      </c>
      <c r="AK39" s="5" t="s">
        <v>29</v>
      </c>
      <c r="AL39" s="5" t="s">
        <v>30</v>
      </c>
      <c r="AM39" s="5" t="s">
        <v>31</v>
      </c>
      <c r="AN39" s="5" t="s">
        <v>32</v>
      </c>
    </row>
    <row r="40" spans="1:40" x14ac:dyDescent="0.35">
      <c r="A40">
        <v>1959</v>
      </c>
      <c r="B40" s="1">
        <f>DATE(_dat80[[#This Row],[Year]],_dat80[[#This Row],[Quarter]]*3-1,15)</f>
        <v>21777</v>
      </c>
      <c r="C40" s="2">
        <f>_dat80[[#This Row],[Year]]+(_dat80[[#This Row],[Quarter]]-1)/4+1/8</f>
        <v>1959.625</v>
      </c>
      <c r="D40" s="2">
        <f>_dat80[[#This Row],[DecDate]]^2</f>
        <v>3840130.140625</v>
      </c>
      <c r="E40">
        <v>3</v>
      </c>
      <c r="F40">
        <v>890</v>
      </c>
      <c r="G40">
        <f>LN(_dat80[[#This Row],[Expenditure]])</f>
        <v>6.7912214627261855</v>
      </c>
      <c r="H40">
        <f>_dat80[[#This Row],[LOG(Expenditure 80)]]-G39</f>
        <v>4.7162276414837834E-2</v>
      </c>
      <c r="I40">
        <f>(1+(_dat80[[#This Row],[Expenditure]]-F39)/F39)^12-1</f>
        <v>0.76111532720028485</v>
      </c>
      <c r="J40" s="2">
        <f>$W$17+$W$18*_dat80[[#This Row],[DecDate]]</f>
        <v>865.88201573210972</v>
      </c>
      <c r="K40" s="2">
        <f>$W$40+$W$41*_dat80[[#This Row],[DecDate]]+_dat80[[#This Row],[DecDate^2]]*$W$42</f>
        <v>873.04138610877271</v>
      </c>
      <c r="L40" s="2">
        <f>$AG$17+_dat80[[#This Row],[DecDate]]*$AG$18</f>
        <v>6.7714917439368767</v>
      </c>
      <c r="M40" s="2">
        <f>$AG$40+$AG$41*_dat80[[#This Row],[DecDate]]+_dat80[[#This Row],[DecDate^2]]*$AG$42</f>
        <v>6.771673200750417</v>
      </c>
      <c r="N40" s="2">
        <f>_dat80[[#This Row],[LOG(Expenditure 80)]]-_dat80[[#This Row],[Linear Trend LOG]]</f>
        <v>1.9729718789308848E-2</v>
      </c>
      <c r="O40" s="2">
        <f t="shared" si="0"/>
        <v>8.6053272668934252E-3</v>
      </c>
      <c r="P40" s="2">
        <f>_dat80[[#This Row],[Cycle 80]]+_dat80[[#This Row],[Linear Trend LOG]]</f>
        <v>6.7800970712037705</v>
      </c>
      <c r="Q40" s="2">
        <f>_dat80[[#This Row],[Detrend(Linear)]]-_dat80[[#This Row],[Cycle 80]]</f>
        <v>1.1124391522415423E-2</v>
      </c>
      <c r="R40" s="2">
        <f>AVERAGEIF(_dat80[Quarter],_dat80[[#This Row],[Quarter]],_dat80[High Frequency])</f>
        <v>3.946848336706609E-3</v>
      </c>
      <c r="S40" s="2">
        <f>_dat80[[#This Row],[S0]]-AVERAGE($R$2:$R$5)</f>
        <v>3.8920300735566758E-3</v>
      </c>
      <c r="V40" s="3" t="s">
        <v>20</v>
      </c>
      <c r="W40" s="3">
        <v>98920.390115797709</v>
      </c>
      <c r="X40" s="3">
        <v>16975.221905198065</v>
      </c>
      <c r="Y40" s="3">
        <v>5.8273400293816966</v>
      </c>
      <c r="Z40" s="3">
        <v>1.5407462201814529E-8</v>
      </c>
      <c r="AA40" s="3">
        <v>65505.648799381903</v>
      </c>
      <c r="AB40" s="3">
        <v>132335.13143221353</v>
      </c>
      <c r="AC40" s="3">
        <v>65505.648799381903</v>
      </c>
      <c r="AD40" s="3">
        <v>132335.13143221353</v>
      </c>
      <c r="AF40" s="3" t="s">
        <v>20</v>
      </c>
      <c r="AG40" s="3">
        <v>-4.5908080704051581</v>
      </c>
      <c r="AH40" s="3">
        <v>16.403319698050641</v>
      </c>
      <c r="AI40" s="3">
        <v>-0.27987066977367553</v>
      </c>
      <c r="AJ40" s="3">
        <v>0.77978263568066408</v>
      </c>
      <c r="AK40" s="3">
        <v>-36.879793009859164</v>
      </c>
      <c r="AL40" s="3">
        <v>27.698176869048844</v>
      </c>
      <c r="AM40" s="3">
        <v>-36.879793009859164</v>
      </c>
      <c r="AN40" s="3">
        <v>27.698176869048844</v>
      </c>
    </row>
    <row r="41" spans="1:40" x14ac:dyDescent="0.35">
      <c r="A41">
        <v>1959</v>
      </c>
      <c r="B41" s="1">
        <f>DATE(_dat80[[#This Row],[Year]],_dat80[[#This Row],[Quarter]]*3-1,15)</f>
        <v>21869</v>
      </c>
      <c r="C41" s="2">
        <f>_dat80[[#This Row],[Year]]+(_dat80[[#This Row],[Quarter]]-1)/4+1/8</f>
        <v>1959.875</v>
      </c>
      <c r="D41" s="2">
        <f>_dat80[[#This Row],[DecDate]]^2</f>
        <v>3841110.015625</v>
      </c>
      <c r="E41">
        <v>4</v>
      </c>
      <c r="F41">
        <v>846</v>
      </c>
      <c r="G41">
        <f>LN(_dat80[[#This Row],[Expenditure]])</f>
        <v>6.7405193596062229</v>
      </c>
      <c r="H41">
        <f>_dat80[[#This Row],[LOG(Expenditure 80)]]-G40</f>
        <v>-5.0702103119962594E-2</v>
      </c>
      <c r="I41">
        <f>(1+(_dat80[[#This Row],[Expenditure]]-F40)/F40)^12-1</f>
        <v>-0.4557928082442072</v>
      </c>
      <c r="J41" s="2">
        <f>$W$17+$W$18*_dat80[[#This Row],[DecDate]]</f>
        <v>867.80623521676898</v>
      </c>
      <c r="K41" s="2">
        <f>$W$40+$W$41*_dat80[[#This Row],[DecDate]]+_dat80[[#This Row],[DecDate^2]]*$W$42</f>
        <v>874.59606655620155</v>
      </c>
      <c r="L41" s="2">
        <f>$AG$17+_dat80[[#This Row],[DecDate]]*$AG$18</f>
        <v>6.7733071181092539</v>
      </c>
      <c r="M41" s="2">
        <f>$AG$40+$AG$41*_dat80[[#This Row],[DecDate]]+_dat80[[#This Row],[DecDate^2]]*$AG$42</f>
        <v>6.7734792088231721</v>
      </c>
      <c r="N41" s="2">
        <f>_dat80[[#This Row],[LOG(Expenditure 80)]]-_dat80[[#This Row],[Linear Trend LOG]]</f>
        <v>-3.278775850303095E-2</v>
      </c>
      <c r="O41" s="2">
        <f t="shared" si="0"/>
        <v>-5.7212315626472329E-3</v>
      </c>
      <c r="P41" s="2">
        <f>_dat80[[#This Row],[Cycle 80]]+_dat80[[#This Row],[Linear Trend LOG]]</f>
        <v>6.7675858865466063</v>
      </c>
      <c r="Q41" s="2">
        <f>_dat80[[#This Row],[Detrend(Linear)]]-_dat80[[#This Row],[Cycle 80]]</f>
        <v>-2.7066526940383716E-2</v>
      </c>
      <c r="R41" s="2">
        <f>AVERAGEIF(_dat80[Quarter],_dat80[[#This Row],[Quarter]],_dat80[High Frequency])</f>
        <v>-2.9622809170614002E-2</v>
      </c>
      <c r="S41" s="2">
        <f>_dat80[[#This Row],[S0]]-AVERAGE($R$2:$R$5)</f>
        <v>-2.9677627433763936E-2</v>
      </c>
      <c r="V41" s="3" t="s">
        <v>33</v>
      </c>
      <c r="W41" s="3">
        <v>-106.27900686478492</v>
      </c>
      <c r="X41" s="3">
        <v>17.100466452660957</v>
      </c>
      <c r="Y41" s="3">
        <v>-6.2149770685493282</v>
      </c>
      <c r="Z41" s="3">
        <v>1.8475147737094715E-9</v>
      </c>
      <c r="AA41" s="3">
        <v>-139.94028482019939</v>
      </c>
      <c r="AB41" s="3">
        <v>-72.617728909370442</v>
      </c>
      <c r="AC41" s="3">
        <v>-139.94028482019939</v>
      </c>
      <c r="AD41" s="3">
        <v>-72.617728909370442</v>
      </c>
      <c r="AF41" s="3" t="s">
        <v>33</v>
      </c>
      <c r="AG41" s="3">
        <v>4.3727369538572895E-3</v>
      </c>
      <c r="AH41" s="3">
        <v>1.6524344705201938E-2</v>
      </c>
      <c r="AI41" s="3">
        <v>0.26462392499478254</v>
      </c>
      <c r="AJ41" s="3">
        <v>0.79149318079327036</v>
      </c>
      <c r="AK41" s="3">
        <v>-2.8154478703837849E-2</v>
      </c>
      <c r="AL41" s="3">
        <v>3.6899952611552427E-2</v>
      </c>
      <c r="AM41" s="3">
        <v>-2.8154478703837849E-2</v>
      </c>
      <c r="AN41" s="3">
        <v>3.6899952611552427E-2</v>
      </c>
    </row>
    <row r="42" spans="1:40" ht="15" thickBot="1" x14ac:dyDescent="0.4">
      <c r="A42">
        <v>1960</v>
      </c>
      <c r="B42" s="1">
        <f>DATE(_dat80[[#This Row],[Year]],_dat80[[#This Row],[Quarter]]*3-1,15)</f>
        <v>21961</v>
      </c>
      <c r="C42" s="2">
        <f>_dat80[[#This Row],[Year]]+(_dat80[[#This Row],[Quarter]]-1)/4+1/8</f>
        <v>1960.125</v>
      </c>
      <c r="D42" s="2">
        <f>_dat80[[#This Row],[DecDate]]^2</f>
        <v>3842090.015625</v>
      </c>
      <c r="E42">
        <v>1</v>
      </c>
      <c r="F42">
        <v>911</v>
      </c>
      <c r="G42">
        <f>LN(_dat80[[#This Row],[Expenditure]])</f>
        <v>6.8145428972599582</v>
      </c>
      <c r="H42">
        <f>_dat80[[#This Row],[LOG(Expenditure 80)]]-G41</f>
        <v>7.4023537653735261E-2</v>
      </c>
      <c r="I42">
        <f>(1+(_dat80[[#This Row],[Expenditure]]-F41)/F41)^12-1</f>
        <v>1.4309507885759425</v>
      </c>
      <c r="J42" s="2">
        <f>$W$17+$W$18*_dat80[[#This Row],[DecDate]]</f>
        <v>869.73045470143006</v>
      </c>
      <c r="K42" s="2">
        <f>$W$40+$W$41*_dat80[[#This Row],[DecDate]]+_dat80[[#This Row],[DecDate^2]]*$W$42</f>
        <v>876.15433476126054</v>
      </c>
      <c r="L42" s="2">
        <f>$AG$17+_dat80[[#This Row],[DecDate]]*$AG$18</f>
        <v>6.7751224922816293</v>
      </c>
      <c r="M42" s="2">
        <f>$AG$40+$AG$41*_dat80[[#This Row],[DecDate]]+_dat80[[#This Row],[DecDate^2]]*$AG$42</f>
        <v>6.7752853078289323</v>
      </c>
      <c r="N42" s="2">
        <f>_dat80[[#This Row],[LOG(Expenditure 80)]]-_dat80[[#This Row],[Linear Trend LOG]]</f>
        <v>3.9420404978328882E-2</v>
      </c>
      <c r="O42" s="2">
        <f t="shared" si="0"/>
        <v>7.6908600429224092E-4</v>
      </c>
      <c r="P42" s="2">
        <f>_dat80[[#This Row],[Cycle 80]]+_dat80[[#This Row],[Linear Trend LOG]]</f>
        <v>6.7758915782859219</v>
      </c>
      <c r="Q42" s="2">
        <f>_dat80[[#This Row],[Detrend(Linear)]]-_dat80[[#This Row],[Cycle 80]]</f>
        <v>3.865131897403664E-2</v>
      </c>
      <c r="R42" s="2">
        <f>AVERAGEIF(_dat80[Quarter],_dat80[[#This Row],[Quarter]],_dat80[High Frequency])</f>
        <v>3.3009459236017259E-2</v>
      </c>
      <c r="S42" s="2">
        <f>_dat80[[#This Row],[S0]]-AVERAGE($R$2:$R$5)</f>
        <v>3.2954640972867329E-2</v>
      </c>
      <c r="V42" s="4" t="s">
        <v>35</v>
      </c>
      <c r="W42" s="4">
        <v>2.870206114415081E-2</v>
      </c>
      <c r="X42" s="4">
        <v>4.3062916750009027E-3</v>
      </c>
      <c r="Y42" s="4">
        <v>6.6651456311641484</v>
      </c>
      <c r="Z42" s="4">
        <v>1.3945586917540193E-10</v>
      </c>
      <c r="AA42" s="4">
        <v>2.0225375351364341E-2</v>
      </c>
      <c r="AB42" s="4">
        <v>3.7178746936937276E-2</v>
      </c>
      <c r="AC42" s="4">
        <v>2.0225375351364341E-2</v>
      </c>
      <c r="AD42" s="4">
        <v>3.7178746936937276E-2</v>
      </c>
      <c r="AF42" s="4" t="s">
        <v>35</v>
      </c>
      <c r="AG42" s="4">
        <v>7.2746404826225998E-7</v>
      </c>
      <c r="AH42" s="4">
        <v>4.1612109374819739E-6</v>
      </c>
      <c r="AI42" s="4">
        <v>0.17482027688374338</v>
      </c>
      <c r="AJ42" s="4">
        <v>0.86134674902108999</v>
      </c>
      <c r="AK42" s="4">
        <v>-7.4636387140776166E-6</v>
      </c>
      <c r="AL42" s="4">
        <v>8.9185668106021364E-6</v>
      </c>
      <c r="AM42" s="4">
        <v>-7.4636387140776166E-6</v>
      </c>
      <c r="AN42" s="4">
        <v>8.9185668106021364E-6</v>
      </c>
    </row>
    <row r="43" spans="1:40" x14ac:dyDescent="0.35">
      <c r="A43">
        <v>1960</v>
      </c>
      <c r="B43" s="1">
        <f>DATE(_dat80[[#This Row],[Year]],_dat80[[#This Row],[Quarter]]*3-1,15)</f>
        <v>22051</v>
      </c>
      <c r="C43" s="2">
        <f>_dat80[[#This Row],[Year]]+(_dat80[[#This Row],[Quarter]]-1)/4+1/8</f>
        <v>1960.375</v>
      </c>
      <c r="D43" s="2">
        <f>_dat80[[#This Row],[DecDate]]^2</f>
        <v>3843070.140625</v>
      </c>
      <c r="E43">
        <v>2</v>
      </c>
      <c r="F43">
        <v>852</v>
      </c>
      <c r="G43">
        <f>LN(_dat80[[#This Row],[Expenditure]])</f>
        <v>6.7475865268293154</v>
      </c>
      <c r="H43">
        <f>_dat80[[#This Row],[LOG(Expenditure 80)]]-G42</f>
        <v>-6.6956370430642842E-2</v>
      </c>
      <c r="I43">
        <f>(1+(_dat80[[#This Row],[Expenditure]]-F42)/F42)^12-1</f>
        <v>-0.5522303913114861</v>
      </c>
      <c r="J43" s="2">
        <f>$W$17+$W$18*_dat80[[#This Row],[DecDate]]</f>
        <v>871.65467418608932</v>
      </c>
      <c r="K43" s="2">
        <f>$W$40+$W$41*_dat80[[#This Row],[DecDate]]+_dat80[[#This Row],[DecDate^2]]*$W$42</f>
        <v>877.7161907239788</v>
      </c>
      <c r="L43" s="2">
        <f>$AG$17+_dat80[[#This Row],[DecDate]]*$AG$18</f>
        <v>6.7769378664540065</v>
      </c>
      <c r="M43" s="2">
        <f>$AG$40+$AG$41*_dat80[[#This Row],[DecDate]]+_dat80[[#This Row],[DecDate^2]]*$AG$42</f>
        <v>6.7770914977677013</v>
      </c>
      <c r="N43" s="2">
        <f>_dat80[[#This Row],[LOG(Expenditure 80)]]-_dat80[[#This Row],[Linear Trend LOG]]</f>
        <v>-2.9351339624691164E-2</v>
      </c>
      <c r="O43" s="2">
        <f t="shared" si="0"/>
        <v>-1.0714453554941095E-2</v>
      </c>
      <c r="P43" s="2">
        <f>_dat80[[#This Row],[Cycle 80]]+_dat80[[#This Row],[Linear Trend LOG]]</f>
        <v>6.7662234128990653</v>
      </c>
      <c r="Q43" s="2">
        <f>_dat80[[#This Row],[Detrend(Linear)]]-_dat80[[#This Row],[Cycle 80]]</f>
        <v>-1.8636886069750069E-2</v>
      </c>
      <c r="R43" s="2">
        <f>AVERAGEIF(_dat80[Quarter],_dat80[[#This Row],[Quarter]],_dat80[High Frequency])</f>
        <v>-7.1142253495101353E-3</v>
      </c>
      <c r="S43" s="2">
        <f>_dat80[[#This Row],[S0]]-AVERAGE($R$2:$R$5)</f>
        <v>-7.1690436126600685E-3</v>
      </c>
    </row>
    <row r="44" spans="1:40" x14ac:dyDescent="0.35">
      <c r="A44">
        <v>1960</v>
      </c>
      <c r="B44" s="1">
        <f>DATE(_dat80[[#This Row],[Year]],_dat80[[#This Row],[Quarter]]*3-1,15)</f>
        <v>22143</v>
      </c>
      <c r="C44" s="2">
        <f>_dat80[[#This Row],[Year]]+(_dat80[[#This Row],[Quarter]]-1)/4+1/8</f>
        <v>1960.625</v>
      </c>
      <c r="D44" s="2">
        <f>_dat80[[#This Row],[DecDate]]^2</f>
        <v>3844050.390625</v>
      </c>
      <c r="E44">
        <v>3</v>
      </c>
      <c r="F44">
        <v>885</v>
      </c>
      <c r="G44">
        <f>LN(_dat80[[#This Row],[Expenditure]])</f>
        <v>6.7855876450079293</v>
      </c>
      <c r="H44">
        <f>_dat80[[#This Row],[LOG(Expenditure 80)]]-G43</f>
        <v>3.8001118178613957E-2</v>
      </c>
      <c r="I44">
        <f>(1+(_dat80[[#This Row],[Expenditure]]-F43)/F43)^12-1</f>
        <v>0.57777151538883564</v>
      </c>
      <c r="J44" s="2">
        <f>$W$17+$W$18*_dat80[[#This Row],[DecDate]]</f>
        <v>873.57889367074858</v>
      </c>
      <c r="K44" s="2">
        <f>$W$40+$W$41*_dat80[[#This Row],[DecDate]]+_dat80[[#This Row],[DecDate^2]]*$W$42</f>
        <v>879.28163444434176</v>
      </c>
      <c r="L44" s="2">
        <f>$AG$17+_dat80[[#This Row],[DecDate]]*$AG$18</f>
        <v>6.7787532406263837</v>
      </c>
      <c r="M44" s="2">
        <f>$AG$40+$AG$41*_dat80[[#This Row],[DecDate]]+_dat80[[#This Row],[DecDate^2]]*$AG$42</f>
        <v>6.7788977786394735</v>
      </c>
      <c r="N44" s="2">
        <f>_dat80[[#This Row],[LOG(Expenditure 80)]]-_dat80[[#This Row],[Linear Trend LOG]]</f>
        <v>6.834404381545589E-3</v>
      </c>
      <c r="O44" s="2">
        <f t="shared" si="0"/>
        <v>3.8057784755359592E-3</v>
      </c>
      <c r="P44" s="2">
        <f>_dat80[[#This Row],[Cycle 80]]+_dat80[[#This Row],[Linear Trend LOG]]</f>
        <v>6.7825590191019201</v>
      </c>
      <c r="Q44" s="2">
        <f>_dat80[[#This Row],[Detrend(Linear)]]-_dat80[[#This Row],[Cycle 80]]</f>
        <v>3.0286259060096298E-3</v>
      </c>
      <c r="R44" s="2">
        <f>AVERAGEIF(_dat80[Quarter],_dat80[[#This Row],[Quarter]],_dat80[High Frequency])</f>
        <v>3.946848336706609E-3</v>
      </c>
      <c r="S44" s="2">
        <f>_dat80[[#This Row],[S0]]-AVERAGE($R$2:$R$5)</f>
        <v>3.8920300735566758E-3</v>
      </c>
    </row>
    <row r="45" spans="1:40" x14ac:dyDescent="0.35">
      <c r="A45">
        <v>1960</v>
      </c>
      <c r="B45" s="1">
        <f>DATE(_dat80[[#This Row],[Year]],_dat80[[#This Row],[Quarter]]*3-1,15)</f>
        <v>22235</v>
      </c>
      <c r="C45" s="2">
        <f>_dat80[[#This Row],[Year]]+(_dat80[[#This Row],[Quarter]]-1)/4+1/8</f>
        <v>1960.875</v>
      </c>
      <c r="D45" s="2">
        <f>_dat80[[#This Row],[DecDate]]^2</f>
        <v>3845030.765625</v>
      </c>
      <c r="E45">
        <v>4</v>
      </c>
      <c r="F45">
        <v>848</v>
      </c>
      <c r="G45">
        <f>LN(_dat80[[#This Row],[Expenditure]])</f>
        <v>6.7428806357919031</v>
      </c>
      <c r="H45">
        <f>_dat80[[#This Row],[LOG(Expenditure 80)]]-G44</f>
        <v>-4.2707009216026215E-2</v>
      </c>
      <c r="I45">
        <f>(1+(_dat80[[#This Row],[Expenditure]]-F44)/F44)^12-1</f>
        <v>-0.40099426737822041</v>
      </c>
      <c r="J45" s="2">
        <f>$W$17+$W$18*_dat80[[#This Row],[DecDate]]</f>
        <v>875.50311315540785</v>
      </c>
      <c r="K45" s="2">
        <f>$W$40+$W$41*_dat80[[#This Row],[DecDate]]+_dat80[[#This Row],[DecDate^2]]*$W$42</f>
        <v>880.85066592234944</v>
      </c>
      <c r="L45" s="2">
        <f>$AG$17+_dat80[[#This Row],[DecDate]]*$AG$18</f>
        <v>6.7805686147987609</v>
      </c>
      <c r="M45" s="2">
        <f>$AG$40+$AG$41*_dat80[[#This Row],[DecDate]]+_dat80[[#This Row],[DecDate^2]]*$AG$42</f>
        <v>6.7807041504442545</v>
      </c>
      <c r="N45" s="2">
        <f>_dat80[[#This Row],[LOG(Expenditure 80)]]-_dat80[[#This Row],[Linear Trend LOG]]</f>
        <v>-3.768797900685783E-2</v>
      </c>
      <c r="O45" s="2">
        <f t="shared" si="0"/>
        <v>-7.9103797927242425E-3</v>
      </c>
      <c r="P45" s="2">
        <f>_dat80[[#This Row],[Cycle 80]]+_dat80[[#This Row],[Linear Trend LOG]]</f>
        <v>6.7726582350060367</v>
      </c>
      <c r="Q45" s="2">
        <f>_dat80[[#This Row],[Detrend(Linear)]]-_dat80[[#This Row],[Cycle 80]]</f>
        <v>-2.9777599214133588E-2</v>
      </c>
      <c r="R45" s="2">
        <f>AVERAGEIF(_dat80[Quarter],_dat80[[#This Row],[Quarter]],_dat80[High Frequency])</f>
        <v>-2.9622809170614002E-2</v>
      </c>
      <c r="S45" s="2">
        <f>_dat80[[#This Row],[S0]]-AVERAGE($R$2:$R$5)</f>
        <v>-2.9677627433763936E-2</v>
      </c>
    </row>
    <row r="46" spans="1:40" x14ac:dyDescent="0.35">
      <c r="A46">
        <v>1961</v>
      </c>
      <c r="B46" s="1">
        <f>DATE(_dat80[[#This Row],[Year]],_dat80[[#This Row],[Quarter]]*3-1,15)</f>
        <v>22327</v>
      </c>
      <c r="C46" s="2">
        <f>_dat80[[#This Row],[Year]]+(_dat80[[#This Row],[Quarter]]-1)/4+1/8</f>
        <v>1961.125</v>
      </c>
      <c r="D46" s="2">
        <f>_dat80[[#This Row],[DecDate]]^2</f>
        <v>3846011.265625</v>
      </c>
      <c r="E46">
        <v>1</v>
      </c>
      <c r="F46">
        <v>918</v>
      </c>
      <c r="G46">
        <f>LN(_dat80[[#This Row],[Expenditure]])</f>
        <v>6.8221973906204907</v>
      </c>
      <c r="H46">
        <f>_dat80[[#This Row],[LOG(Expenditure 80)]]-G45</f>
        <v>7.9316754828587577E-2</v>
      </c>
      <c r="I46">
        <f>(1+(_dat80[[#This Row],[Expenditure]]-F45)/F45)^12-1</f>
        <v>1.5903708685301066</v>
      </c>
      <c r="J46" s="2">
        <f>$W$17+$W$18*_dat80[[#This Row],[DecDate]]</f>
        <v>877.42733264006711</v>
      </c>
      <c r="K46" s="2">
        <f>$W$40+$W$41*_dat80[[#This Row],[DecDate]]+_dat80[[#This Row],[DecDate^2]]*$W$42</f>
        <v>882.42328515797271</v>
      </c>
      <c r="L46" s="2">
        <f>$AG$17+_dat80[[#This Row],[DecDate]]*$AG$18</f>
        <v>6.7823839889711364</v>
      </c>
      <c r="M46" s="2">
        <f>$AG$40+$AG$41*_dat80[[#This Row],[DecDate]]+_dat80[[#This Row],[DecDate^2]]*$AG$42</f>
        <v>6.7825106131820387</v>
      </c>
      <c r="N46" s="2">
        <f>_dat80[[#This Row],[LOG(Expenditure 80)]]-_dat80[[#This Row],[Linear Trend LOG]]</f>
        <v>3.9813401649354319E-2</v>
      </c>
      <c r="O46" s="2">
        <f t="shared" si="0"/>
        <v>-1.6740628690483205E-3</v>
      </c>
      <c r="P46" s="2">
        <f>_dat80[[#This Row],[Cycle 80]]+_dat80[[#This Row],[Linear Trend LOG]]</f>
        <v>6.7807099261020882</v>
      </c>
      <c r="Q46" s="2">
        <f>_dat80[[#This Row],[Detrend(Linear)]]-_dat80[[#This Row],[Cycle 80]]</f>
        <v>4.1487464518402642E-2</v>
      </c>
      <c r="R46" s="2">
        <f>AVERAGEIF(_dat80[Quarter],_dat80[[#This Row],[Quarter]],_dat80[High Frequency])</f>
        <v>3.3009459236017259E-2</v>
      </c>
      <c r="S46" s="2">
        <f>_dat80[[#This Row],[S0]]-AVERAGE($R$2:$R$5)</f>
        <v>3.2954640972867329E-2</v>
      </c>
    </row>
    <row r="47" spans="1:40" x14ac:dyDescent="0.35">
      <c r="A47">
        <v>1961</v>
      </c>
      <c r="B47" s="1">
        <f>DATE(_dat80[[#This Row],[Year]],_dat80[[#This Row],[Quarter]]*3-1,15)</f>
        <v>22416</v>
      </c>
      <c r="C47" s="2">
        <f>_dat80[[#This Row],[Year]]+(_dat80[[#This Row],[Quarter]]-1)/4+1/8</f>
        <v>1961.375</v>
      </c>
      <c r="D47" s="2">
        <f>_dat80[[#This Row],[DecDate]]^2</f>
        <v>3846991.890625</v>
      </c>
      <c r="E47">
        <v>2</v>
      </c>
      <c r="F47">
        <v>867</v>
      </c>
      <c r="G47">
        <f>LN(_dat80[[#This Row],[Expenditure]])</f>
        <v>6.7650389767805414</v>
      </c>
      <c r="H47">
        <f>_dat80[[#This Row],[LOG(Expenditure 80)]]-G46</f>
        <v>-5.715841383994924E-2</v>
      </c>
      <c r="I47">
        <f>(1+(_dat80[[#This Row],[Expenditure]]-F46)/F46)^12-1</f>
        <v>-0.49636373408933032</v>
      </c>
      <c r="J47" s="2">
        <f>$W$17+$W$18*_dat80[[#This Row],[DecDate]]</f>
        <v>879.35155212472637</v>
      </c>
      <c r="K47" s="2">
        <f>$W$40+$W$41*_dat80[[#This Row],[DecDate]]+_dat80[[#This Row],[DecDate^2]]*$W$42</f>
        <v>883.99949215125525</v>
      </c>
      <c r="L47" s="2">
        <f>$AG$17+_dat80[[#This Row],[DecDate]]*$AG$18</f>
        <v>6.7841993631435136</v>
      </c>
      <c r="M47" s="2">
        <f>$AG$40+$AG$41*_dat80[[#This Row],[DecDate]]+_dat80[[#This Row],[DecDate^2]]*$AG$42</f>
        <v>6.7843171668528299</v>
      </c>
      <c r="N47" s="2">
        <f>_dat80[[#This Row],[LOG(Expenditure 80)]]-_dat80[[#This Row],[Linear Trend LOG]]</f>
        <v>-1.9160386362972126E-2</v>
      </c>
      <c r="O47" s="2">
        <f t="shared" si="0"/>
        <v>-1.1089660677147607E-2</v>
      </c>
      <c r="P47" s="2">
        <f>_dat80[[#This Row],[Cycle 80]]+_dat80[[#This Row],[Linear Trend LOG]]</f>
        <v>6.7731097024663658</v>
      </c>
      <c r="Q47" s="2">
        <f>_dat80[[#This Row],[Detrend(Linear)]]-_dat80[[#This Row],[Cycle 80]]</f>
        <v>-8.0707256858245195E-3</v>
      </c>
      <c r="R47" s="2">
        <f>AVERAGEIF(_dat80[Quarter],_dat80[[#This Row],[Quarter]],_dat80[High Frequency])</f>
        <v>-7.1142253495101353E-3</v>
      </c>
      <c r="S47" s="2">
        <f>_dat80[[#This Row],[S0]]-AVERAGE($R$2:$R$5)</f>
        <v>-7.1690436126600685E-3</v>
      </c>
    </row>
    <row r="48" spans="1:40" x14ac:dyDescent="0.35">
      <c r="A48">
        <v>1961</v>
      </c>
      <c r="B48" s="1">
        <f>DATE(_dat80[[#This Row],[Year]],_dat80[[#This Row],[Quarter]]*3-1,15)</f>
        <v>22508</v>
      </c>
      <c r="C48" s="2">
        <f>_dat80[[#This Row],[Year]]+(_dat80[[#This Row],[Quarter]]-1)/4+1/8</f>
        <v>1961.625</v>
      </c>
      <c r="D48" s="2">
        <f>_dat80[[#This Row],[DecDate]]^2</f>
        <v>3847972.640625</v>
      </c>
      <c r="E48">
        <v>3</v>
      </c>
      <c r="F48">
        <v>887</v>
      </c>
      <c r="G48">
        <f>LN(_dat80[[#This Row],[Expenditure]])</f>
        <v>6.7878449823095792</v>
      </c>
      <c r="H48">
        <f>_dat80[[#This Row],[LOG(Expenditure 80)]]-G47</f>
        <v>2.2806005529037776E-2</v>
      </c>
      <c r="I48">
        <f>(1+(_dat80[[#This Row],[Expenditure]]-F47)/F47)^12-1</f>
        <v>0.31478356975774191</v>
      </c>
      <c r="J48" s="2">
        <f>$W$17+$W$18*_dat80[[#This Row],[DecDate]]</f>
        <v>881.27577160938563</v>
      </c>
      <c r="K48" s="2">
        <f>$W$40+$W$41*_dat80[[#This Row],[DecDate]]+_dat80[[#This Row],[DecDate^2]]*$W$42</f>
        <v>885.57928690219705</v>
      </c>
      <c r="L48" s="2">
        <f>$AG$17+_dat80[[#This Row],[DecDate]]*$AG$18</f>
        <v>6.7860147373158908</v>
      </c>
      <c r="M48" s="2">
        <f>$AG$40+$AG$41*_dat80[[#This Row],[DecDate]]+_dat80[[#This Row],[DecDate^2]]*$AG$42</f>
        <v>6.786123811456628</v>
      </c>
      <c r="N48" s="2">
        <f>_dat80[[#This Row],[LOG(Expenditure 80)]]-_dat80[[#This Row],[Linear Trend LOG]]</f>
        <v>1.8302449936884457E-3</v>
      </c>
      <c r="O48" s="2">
        <f t="shared" si="0"/>
        <v>4.2612523204320855E-3</v>
      </c>
      <c r="P48" s="2">
        <f>_dat80[[#This Row],[Cycle 80]]+_dat80[[#This Row],[Linear Trend LOG]]</f>
        <v>6.7902759896363225</v>
      </c>
      <c r="Q48" s="2">
        <f>_dat80[[#This Row],[Detrend(Linear)]]-_dat80[[#This Row],[Cycle 80]]</f>
        <v>-2.4310073267436397E-3</v>
      </c>
      <c r="R48" s="2">
        <f>AVERAGEIF(_dat80[Quarter],_dat80[[#This Row],[Quarter]],_dat80[High Frequency])</f>
        <v>3.946848336706609E-3</v>
      </c>
      <c r="S48" s="2">
        <f>_dat80[[#This Row],[S0]]-AVERAGE($R$2:$R$5)</f>
        <v>3.8920300735566758E-3</v>
      </c>
    </row>
    <row r="49" spans="1:19" x14ac:dyDescent="0.35">
      <c r="A49">
        <v>1961</v>
      </c>
      <c r="B49" s="1">
        <f>DATE(_dat80[[#This Row],[Year]],_dat80[[#This Row],[Quarter]]*3-1,15)</f>
        <v>22600</v>
      </c>
      <c r="C49" s="2">
        <f>_dat80[[#This Row],[Year]]+(_dat80[[#This Row],[Quarter]]-1)/4+1/8</f>
        <v>1961.875</v>
      </c>
      <c r="D49" s="2">
        <f>_dat80[[#This Row],[DecDate]]^2</f>
        <v>3848953.515625</v>
      </c>
      <c r="E49">
        <v>4</v>
      </c>
      <c r="F49">
        <v>852</v>
      </c>
      <c r="G49">
        <f>LN(_dat80[[#This Row],[Expenditure]])</f>
        <v>6.7475865268293154</v>
      </c>
      <c r="H49">
        <f>_dat80[[#This Row],[LOG(Expenditure 80)]]-G48</f>
        <v>-4.0258455480263855E-2</v>
      </c>
      <c r="I49">
        <f>(1+(_dat80[[#This Row],[Expenditure]]-F48)/F48)^12-1</f>
        <v>-0.38313277070616825</v>
      </c>
      <c r="J49" s="2">
        <f>$W$17+$W$18*_dat80[[#This Row],[DecDate]]</f>
        <v>883.19999109404489</v>
      </c>
      <c r="K49" s="2">
        <f>$W$40+$W$41*_dat80[[#This Row],[DecDate]]+_dat80[[#This Row],[DecDate^2]]*$W$42</f>
        <v>887.16266941076901</v>
      </c>
      <c r="L49" s="2">
        <f>$AG$17+_dat80[[#This Row],[DecDate]]*$AG$18</f>
        <v>6.7878301114882662</v>
      </c>
      <c r="M49" s="2">
        <f>$AG$40+$AG$41*_dat80[[#This Row],[DecDate]]+_dat80[[#This Row],[DecDate^2]]*$AG$42</f>
        <v>6.7879305469934312</v>
      </c>
      <c r="N49" s="2">
        <f>_dat80[[#This Row],[LOG(Expenditure 80)]]-_dat80[[#This Row],[Linear Trend LOG]]</f>
        <v>-4.0243584658950837E-2</v>
      </c>
      <c r="O49" s="2">
        <f t="shared" si="0"/>
        <v>-6.0092184815925265E-3</v>
      </c>
      <c r="P49" s="2">
        <f>_dat80[[#This Row],[Cycle 80]]+_dat80[[#This Row],[Linear Trend LOG]]</f>
        <v>6.7818208930066737</v>
      </c>
      <c r="Q49" s="2">
        <f>_dat80[[#This Row],[Detrend(Linear)]]-_dat80[[#This Row],[Cycle 80]]</f>
        <v>-3.4234366177358311E-2</v>
      </c>
      <c r="R49" s="2">
        <f>AVERAGEIF(_dat80[Quarter],_dat80[[#This Row],[Quarter]],_dat80[High Frequency])</f>
        <v>-2.9622809170614002E-2</v>
      </c>
      <c r="S49" s="2">
        <f>_dat80[[#This Row],[S0]]-AVERAGE($R$2:$R$5)</f>
        <v>-2.9677627433763936E-2</v>
      </c>
    </row>
    <row r="50" spans="1:19" x14ac:dyDescent="0.35">
      <c r="A50">
        <v>1962</v>
      </c>
      <c r="B50" s="1">
        <f>DATE(_dat80[[#This Row],[Year]],_dat80[[#This Row],[Quarter]]*3-1,15)</f>
        <v>22692</v>
      </c>
      <c r="C50" s="2">
        <f>_dat80[[#This Row],[Year]]+(_dat80[[#This Row],[Quarter]]-1)/4+1/8</f>
        <v>1962.125</v>
      </c>
      <c r="D50" s="2">
        <f>_dat80[[#This Row],[DecDate]]^2</f>
        <v>3849934.515625</v>
      </c>
      <c r="E50">
        <v>1</v>
      </c>
      <c r="F50">
        <v>924</v>
      </c>
      <c r="G50">
        <f>LN(_dat80[[#This Row],[Expenditure]])</f>
        <v>6.828712071641684</v>
      </c>
      <c r="H50">
        <f>_dat80[[#This Row],[LOG(Expenditure 80)]]-G49</f>
        <v>8.1125544812368666E-2</v>
      </c>
      <c r="I50">
        <f>(1+(_dat80[[#This Row],[Expenditure]]-F49)/F49)^12-1</f>
        <v>1.6472107479798339</v>
      </c>
      <c r="J50" s="2">
        <f>$W$17+$W$18*_dat80[[#This Row],[DecDate]]</f>
        <v>885.12421057870597</v>
      </c>
      <c r="K50" s="2">
        <f>$W$40+$W$41*_dat80[[#This Row],[DecDate]]+_dat80[[#This Row],[DecDate^2]]*$W$42</f>
        <v>888.74963967700023</v>
      </c>
      <c r="L50" s="2">
        <f>$AG$17+_dat80[[#This Row],[DecDate]]*$AG$18</f>
        <v>6.7896454856606434</v>
      </c>
      <c r="M50" s="2">
        <f>$AG$40+$AG$41*_dat80[[#This Row],[DecDate]]+_dat80[[#This Row],[DecDate^2]]*$AG$42</f>
        <v>6.7897373734632422</v>
      </c>
      <c r="N50" s="2">
        <f>_dat80[[#This Row],[LOG(Expenditure 80)]]-_dat80[[#This Row],[Linear Trend LOG]]</f>
        <v>3.9066585981040625E-2</v>
      </c>
      <c r="O50" s="2">
        <f t="shared" si="0"/>
        <v>7.5460072990747302E-4</v>
      </c>
      <c r="P50" s="2">
        <f>_dat80[[#This Row],[Cycle 80]]+_dat80[[#This Row],[Linear Trend LOG]]</f>
        <v>6.7904000863905507</v>
      </c>
      <c r="Q50" s="2">
        <f>_dat80[[#This Row],[Detrend(Linear)]]-_dat80[[#This Row],[Cycle 80]]</f>
        <v>3.8311985251133149E-2</v>
      </c>
      <c r="R50" s="2">
        <f>AVERAGEIF(_dat80[Quarter],_dat80[[#This Row],[Quarter]],_dat80[High Frequency])</f>
        <v>3.3009459236017259E-2</v>
      </c>
      <c r="S50" s="2">
        <f>_dat80[[#This Row],[S0]]-AVERAGE($R$2:$R$5)</f>
        <v>3.2954640972867329E-2</v>
      </c>
    </row>
    <row r="51" spans="1:19" x14ac:dyDescent="0.35">
      <c r="A51">
        <v>1962</v>
      </c>
      <c r="B51" s="1">
        <f>DATE(_dat80[[#This Row],[Year]],_dat80[[#This Row],[Quarter]]*3-1,15)</f>
        <v>22781</v>
      </c>
      <c r="C51" s="2">
        <f>_dat80[[#This Row],[Year]]+(_dat80[[#This Row],[Quarter]]-1)/4+1/8</f>
        <v>1962.375</v>
      </c>
      <c r="D51" s="2">
        <f>_dat80[[#This Row],[DecDate]]^2</f>
        <v>3850915.640625</v>
      </c>
      <c r="E51">
        <v>2</v>
      </c>
      <c r="F51">
        <v>880</v>
      </c>
      <c r="G51">
        <f>LN(_dat80[[#This Row],[Expenditure]])</f>
        <v>6.7799219074722519</v>
      </c>
      <c r="H51">
        <f>_dat80[[#This Row],[LOG(Expenditure 80)]]-G50</f>
        <v>-4.879016416943216E-2</v>
      </c>
      <c r="I51">
        <f>(1+(_dat80[[#This Row],[Expenditure]]-F50)/F50)^12-1</f>
        <v>-0.44316258182244073</v>
      </c>
      <c r="J51" s="2">
        <f>$W$17+$W$18*_dat80[[#This Row],[DecDate]]</f>
        <v>887.04843006336523</v>
      </c>
      <c r="K51" s="2">
        <f>$W$40+$W$41*_dat80[[#This Row],[DecDate]]+_dat80[[#This Row],[DecDate^2]]*$W$42</f>
        <v>890.3401977008325</v>
      </c>
      <c r="L51" s="2">
        <f>$AG$17+_dat80[[#This Row],[DecDate]]*$AG$18</f>
        <v>6.7914608598330206</v>
      </c>
      <c r="M51" s="2">
        <f>$AG$40+$AG$41*_dat80[[#This Row],[DecDate]]+_dat80[[#This Row],[DecDate^2]]*$AG$42</f>
        <v>6.7915442908660566</v>
      </c>
      <c r="N51" s="2">
        <f>_dat80[[#This Row],[LOG(Expenditure 80)]]-_dat80[[#This Row],[Linear Trend LOG]]</f>
        <v>-1.1538952360768739E-2</v>
      </c>
      <c r="O51" s="2">
        <f t="shared" si="0"/>
        <v>-5.3914269723147612E-3</v>
      </c>
      <c r="P51" s="2">
        <f>_dat80[[#This Row],[Cycle 80]]+_dat80[[#This Row],[Linear Trend LOG]]</f>
        <v>6.7860694328607059</v>
      </c>
      <c r="Q51" s="2">
        <f>_dat80[[#This Row],[Detrend(Linear)]]-_dat80[[#This Row],[Cycle 80]]</f>
        <v>-6.1475253884539782E-3</v>
      </c>
      <c r="R51" s="2">
        <f>AVERAGEIF(_dat80[Quarter],_dat80[[#This Row],[Quarter]],_dat80[High Frequency])</f>
        <v>-7.1142253495101353E-3</v>
      </c>
      <c r="S51" s="2">
        <f>_dat80[[#This Row],[S0]]-AVERAGE($R$2:$R$5)</f>
        <v>-7.1690436126600685E-3</v>
      </c>
    </row>
    <row r="52" spans="1:19" x14ac:dyDescent="0.35">
      <c r="A52">
        <v>1962</v>
      </c>
      <c r="B52" s="1">
        <f>DATE(_dat80[[#This Row],[Year]],_dat80[[#This Row],[Quarter]]*3-1,15)</f>
        <v>22873</v>
      </c>
      <c r="C52" s="2">
        <f>_dat80[[#This Row],[Year]]+(_dat80[[#This Row],[Quarter]]-1)/4+1/8</f>
        <v>1962.625</v>
      </c>
      <c r="D52" s="2">
        <f>_dat80[[#This Row],[DecDate]]^2</f>
        <v>3851896.890625</v>
      </c>
      <c r="E52">
        <v>3</v>
      </c>
      <c r="F52">
        <v>905</v>
      </c>
      <c r="G52">
        <f>LN(_dat80[[#This Row],[Expenditure]])</f>
        <v>6.8079349436999257</v>
      </c>
      <c r="H52">
        <f>_dat80[[#This Row],[LOG(Expenditure 80)]]-G51</f>
        <v>2.8013036227673815E-2</v>
      </c>
      <c r="I52">
        <f>(1+(_dat80[[#This Row],[Expenditure]]-F51)/F51)^12-1</f>
        <v>0.39955794715945925</v>
      </c>
      <c r="J52" s="2">
        <f>$W$17+$W$18*_dat80[[#This Row],[DecDate]]</f>
        <v>888.97264954802449</v>
      </c>
      <c r="K52" s="2">
        <f>$W$40+$W$41*_dat80[[#This Row],[DecDate]]+_dat80[[#This Row],[DecDate^2]]*$W$42</f>
        <v>891.93434348233859</v>
      </c>
      <c r="L52" s="2">
        <f>$AG$17+_dat80[[#This Row],[DecDate]]*$AG$18</f>
        <v>6.7932762340053978</v>
      </c>
      <c r="M52" s="2">
        <f>$AG$40+$AG$41*_dat80[[#This Row],[DecDate]]+_dat80[[#This Row],[DecDate^2]]*$AG$42</f>
        <v>6.7933512992018779</v>
      </c>
      <c r="N52" s="2">
        <f>_dat80[[#This Row],[LOG(Expenditure 80)]]-_dat80[[#This Row],[Linear Trend LOG]]</f>
        <v>1.4658709694527872E-2</v>
      </c>
      <c r="O52" s="2">
        <f t="shared" si="0"/>
        <v>1.0742456426563508E-2</v>
      </c>
      <c r="P52" s="2">
        <f>_dat80[[#This Row],[Cycle 80]]+_dat80[[#This Row],[Linear Trend LOG]]</f>
        <v>6.8040186904319615</v>
      </c>
      <c r="Q52" s="2">
        <f>_dat80[[#This Row],[Detrend(Linear)]]-_dat80[[#This Row],[Cycle 80]]</f>
        <v>3.916253267964364E-3</v>
      </c>
      <c r="R52" s="2">
        <f>AVERAGEIF(_dat80[Quarter],_dat80[[#This Row],[Quarter]],_dat80[High Frequency])</f>
        <v>3.946848336706609E-3</v>
      </c>
      <c r="S52" s="2">
        <f>_dat80[[#This Row],[S0]]-AVERAGE($R$2:$R$5)</f>
        <v>3.8920300735566758E-3</v>
      </c>
    </row>
    <row r="53" spans="1:19" x14ac:dyDescent="0.35">
      <c r="A53">
        <v>1962</v>
      </c>
      <c r="B53" s="1">
        <f>DATE(_dat80[[#This Row],[Year]],_dat80[[#This Row],[Quarter]]*3-1,15)</f>
        <v>22965</v>
      </c>
      <c r="C53" s="2">
        <f>_dat80[[#This Row],[Year]]+(_dat80[[#This Row],[Quarter]]-1)/4+1/8</f>
        <v>1962.875</v>
      </c>
      <c r="D53" s="2">
        <f>_dat80[[#This Row],[DecDate]]^2</f>
        <v>3852878.265625</v>
      </c>
      <c r="E53">
        <v>4</v>
      </c>
      <c r="F53">
        <v>868</v>
      </c>
      <c r="G53">
        <f>LN(_dat80[[#This Row],[Expenditure]])</f>
        <v>6.7661917146603505</v>
      </c>
      <c r="H53">
        <f>_dat80[[#This Row],[LOG(Expenditure 80)]]-G52</f>
        <v>-4.1743229039575169E-2</v>
      </c>
      <c r="I53">
        <f>(1+(_dat80[[#This Row],[Expenditure]]-F52)/F52)^12-1</f>
        <v>-0.39402633349845373</v>
      </c>
      <c r="J53" s="2">
        <f>$W$17+$W$18*_dat80[[#This Row],[DecDate]]</f>
        <v>890.89686903268375</v>
      </c>
      <c r="K53" s="2">
        <f>$W$40+$W$41*_dat80[[#This Row],[DecDate]]+_dat80[[#This Row],[DecDate^2]]*$W$42</f>
        <v>893.53207702148939</v>
      </c>
      <c r="L53" s="2">
        <f>$AG$17+_dat80[[#This Row],[DecDate]]*$AG$18</f>
        <v>6.7950916081777732</v>
      </c>
      <c r="M53" s="2">
        <f>$AG$40+$AG$41*_dat80[[#This Row],[DecDate]]+_dat80[[#This Row],[DecDate^2]]*$AG$42</f>
        <v>6.7951583984707069</v>
      </c>
      <c r="N53" s="2">
        <f>_dat80[[#This Row],[LOG(Expenditure 80)]]-_dat80[[#This Row],[Linear Trend LOG]]</f>
        <v>-2.8899893517422726E-2</v>
      </c>
      <c r="O53" s="2">
        <f t="shared" si="0"/>
        <v>9.7901652428387118E-4</v>
      </c>
      <c r="P53" s="2">
        <f>_dat80[[#This Row],[Cycle 80]]+_dat80[[#This Row],[Linear Trend LOG]]</f>
        <v>6.7960706247020575</v>
      </c>
      <c r="Q53" s="2">
        <f>_dat80[[#This Row],[Detrend(Linear)]]-_dat80[[#This Row],[Cycle 80]]</f>
        <v>-2.9878910041706598E-2</v>
      </c>
      <c r="R53" s="2">
        <f>AVERAGEIF(_dat80[Quarter],_dat80[[#This Row],[Quarter]],_dat80[High Frequency])</f>
        <v>-2.9622809170614002E-2</v>
      </c>
      <c r="S53" s="2">
        <f>_dat80[[#This Row],[S0]]-AVERAGE($R$2:$R$5)</f>
        <v>-2.9677627433763936E-2</v>
      </c>
    </row>
    <row r="54" spans="1:19" x14ac:dyDescent="0.35">
      <c r="A54">
        <v>1963</v>
      </c>
      <c r="B54" s="1">
        <f>DATE(_dat80[[#This Row],[Year]],_dat80[[#This Row],[Quarter]]*3-1,15)</f>
        <v>23057</v>
      </c>
      <c r="C54" s="2">
        <f>_dat80[[#This Row],[Year]]+(_dat80[[#This Row],[Quarter]]-1)/4+1/8</f>
        <v>1963.125</v>
      </c>
      <c r="D54" s="2">
        <f>_dat80[[#This Row],[DecDate]]^2</f>
        <v>3853859.765625</v>
      </c>
      <c r="E54">
        <v>1</v>
      </c>
      <c r="F54">
        <v>932</v>
      </c>
      <c r="G54">
        <f>LN(_dat80[[#This Row],[Expenditure]])</f>
        <v>6.837332814685591</v>
      </c>
      <c r="H54">
        <f>_dat80[[#This Row],[LOG(Expenditure 80)]]-G53</f>
        <v>7.1141100025240434E-2</v>
      </c>
      <c r="I54">
        <f>(1+(_dat80[[#This Row],[Expenditure]]-F53)/F53)^12-1</f>
        <v>1.3483036121232219</v>
      </c>
      <c r="J54" s="2">
        <f>$W$17+$W$18*_dat80[[#This Row],[DecDate]]</f>
        <v>892.82108851734301</v>
      </c>
      <c r="K54" s="2">
        <f>$W$40+$W$41*_dat80[[#This Row],[DecDate]]+_dat80[[#This Row],[DecDate^2]]*$W$42</f>
        <v>895.13339831828489</v>
      </c>
      <c r="L54" s="2">
        <f>$AG$17+_dat80[[#This Row],[DecDate]]*$AG$18</f>
        <v>6.7969069823501505</v>
      </c>
      <c r="M54" s="2">
        <f>$AG$40+$AG$41*_dat80[[#This Row],[DecDate]]+_dat80[[#This Row],[DecDate^2]]*$AG$42</f>
        <v>6.7969655886725402</v>
      </c>
      <c r="N54" s="2">
        <f>_dat80[[#This Row],[LOG(Expenditure 80)]]-_dat80[[#This Row],[Linear Trend LOG]]</f>
        <v>4.0425832335440504E-2</v>
      </c>
      <c r="O54" s="2">
        <f t="shared" si="0"/>
        <v>5.8681807596361324E-3</v>
      </c>
      <c r="P54" s="2">
        <f>_dat80[[#This Row],[Cycle 80]]+_dat80[[#This Row],[Linear Trend LOG]]</f>
        <v>6.8027751631097866</v>
      </c>
      <c r="Q54" s="2">
        <f>_dat80[[#This Row],[Detrend(Linear)]]-_dat80[[#This Row],[Cycle 80]]</f>
        <v>3.4557651575804371E-2</v>
      </c>
      <c r="R54" s="2">
        <f>AVERAGEIF(_dat80[Quarter],_dat80[[#This Row],[Quarter]],_dat80[High Frequency])</f>
        <v>3.3009459236017259E-2</v>
      </c>
      <c r="S54" s="2">
        <f>_dat80[[#This Row],[S0]]-AVERAGE($R$2:$R$5)</f>
        <v>3.2954640972867329E-2</v>
      </c>
    </row>
    <row r="55" spans="1:19" x14ac:dyDescent="0.35">
      <c r="A55">
        <v>1963</v>
      </c>
      <c r="B55" s="1">
        <f>DATE(_dat80[[#This Row],[Year]],_dat80[[#This Row],[Quarter]]*3-1,15)</f>
        <v>23146</v>
      </c>
      <c r="C55" s="2">
        <f>_dat80[[#This Row],[Year]]+(_dat80[[#This Row],[Quarter]]-1)/4+1/8</f>
        <v>1963.375</v>
      </c>
      <c r="D55" s="2">
        <f>_dat80[[#This Row],[DecDate]]^2</f>
        <v>3854841.390625</v>
      </c>
      <c r="E55">
        <v>2</v>
      </c>
      <c r="F55">
        <v>888</v>
      </c>
      <c r="G55">
        <f>LN(_dat80[[#This Row],[Expenditure]])</f>
        <v>6.7889717429921701</v>
      </c>
      <c r="H55">
        <f>_dat80[[#This Row],[LOG(Expenditure 80)]]-G54</f>
        <v>-4.8361071693420854E-2</v>
      </c>
      <c r="I55">
        <f>(1+(_dat80[[#This Row],[Expenditure]]-F54)/F54)^12-1</f>
        <v>-0.44028797037084311</v>
      </c>
      <c r="J55" s="2">
        <f>$W$17+$W$18*_dat80[[#This Row],[DecDate]]</f>
        <v>894.74530800200228</v>
      </c>
      <c r="K55" s="2">
        <f>$W$40+$W$41*_dat80[[#This Row],[DecDate]]+_dat80[[#This Row],[DecDate^2]]*$W$42</f>
        <v>896.738307372696</v>
      </c>
      <c r="L55" s="2">
        <f>$AG$17+_dat80[[#This Row],[DecDate]]*$AG$18</f>
        <v>6.7987223565225277</v>
      </c>
      <c r="M55" s="2">
        <f>$AG$40+$AG$41*_dat80[[#This Row],[DecDate]]+_dat80[[#This Row],[DecDate^2]]*$AG$42</f>
        <v>6.7987728698073804</v>
      </c>
      <c r="N55" s="2">
        <f>_dat80[[#This Row],[LOG(Expenditure 80)]]-_dat80[[#This Row],[Linear Trend LOG]]</f>
        <v>-9.7506135303575547E-3</v>
      </c>
      <c r="O55" s="2">
        <f t="shared" si="0"/>
        <v>-4.2958392206553951E-3</v>
      </c>
      <c r="P55" s="2">
        <f>_dat80[[#This Row],[Cycle 80]]+_dat80[[#This Row],[Linear Trend LOG]]</f>
        <v>6.7944265173018721</v>
      </c>
      <c r="Q55" s="2">
        <f>_dat80[[#This Row],[Detrend(Linear)]]-_dat80[[#This Row],[Cycle 80]]</f>
        <v>-5.4547743097021597E-3</v>
      </c>
      <c r="R55" s="2">
        <f>AVERAGEIF(_dat80[Quarter],_dat80[[#This Row],[Quarter]],_dat80[High Frequency])</f>
        <v>-7.1142253495101353E-3</v>
      </c>
      <c r="S55" s="2">
        <f>_dat80[[#This Row],[S0]]-AVERAGE($R$2:$R$5)</f>
        <v>-7.1690436126600685E-3</v>
      </c>
    </row>
    <row r="56" spans="1:19" x14ac:dyDescent="0.35">
      <c r="A56">
        <v>1963</v>
      </c>
      <c r="B56" s="1">
        <f>DATE(_dat80[[#This Row],[Year]],_dat80[[#This Row],[Quarter]]*3-1,15)</f>
        <v>23238</v>
      </c>
      <c r="C56" s="2">
        <f>_dat80[[#This Row],[Year]]+(_dat80[[#This Row],[Quarter]]-1)/4+1/8</f>
        <v>1963.625</v>
      </c>
      <c r="D56" s="2">
        <f>_dat80[[#This Row],[DecDate]]^2</f>
        <v>3855823.140625</v>
      </c>
      <c r="E56">
        <v>3</v>
      </c>
      <c r="F56">
        <v>910</v>
      </c>
      <c r="G56">
        <f>LN(_dat80[[#This Row],[Expenditure]])</f>
        <v>6.8134445995108956</v>
      </c>
      <c r="H56">
        <f>_dat80[[#This Row],[LOG(Expenditure 80)]]-G55</f>
        <v>2.447285651872555E-2</v>
      </c>
      <c r="I56">
        <f>(1+(_dat80[[#This Row],[Expenditure]]-F55)/F55)^12-1</f>
        <v>0.3413469266021476</v>
      </c>
      <c r="J56" s="2">
        <f>$W$17+$W$18*_dat80[[#This Row],[DecDate]]</f>
        <v>896.66952748666154</v>
      </c>
      <c r="K56" s="2">
        <f>$W$40+$W$41*_dat80[[#This Row],[DecDate]]+_dat80[[#This Row],[DecDate^2]]*$W$42</f>
        <v>898.34680418478092</v>
      </c>
      <c r="L56" s="2">
        <f>$AG$17+_dat80[[#This Row],[DecDate]]*$AG$18</f>
        <v>6.8005377306949031</v>
      </c>
      <c r="M56" s="2">
        <f>$AG$40+$AG$41*_dat80[[#This Row],[DecDate]]+_dat80[[#This Row],[DecDate^2]]*$AG$42</f>
        <v>6.8005802418752257</v>
      </c>
      <c r="N56" s="2">
        <f>_dat80[[#This Row],[LOG(Expenditure 80)]]-_dat80[[#This Row],[Linear Trend LOG]]</f>
        <v>1.2906868815992567E-2</v>
      </c>
      <c r="O56" s="2">
        <f t="shared" si="0"/>
        <v>1.1310262312113295E-2</v>
      </c>
      <c r="P56" s="2">
        <f>_dat80[[#This Row],[Cycle 80]]+_dat80[[#This Row],[Linear Trend LOG]]</f>
        <v>6.8118479930070164</v>
      </c>
      <c r="Q56" s="2">
        <f>_dat80[[#This Row],[Detrend(Linear)]]-_dat80[[#This Row],[Cycle 80]]</f>
        <v>1.5966065038792721E-3</v>
      </c>
      <c r="R56" s="2">
        <f>AVERAGEIF(_dat80[Quarter],_dat80[[#This Row],[Quarter]],_dat80[High Frequency])</f>
        <v>3.946848336706609E-3</v>
      </c>
      <c r="S56" s="2">
        <f>_dat80[[#This Row],[S0]]-AVERAGE($R$2:$R$5)</f>
        <v>3.8920300735566758E-3</v>
      </c>
    </row>
    <row r="57" spans="1:19" x14ac:dyDescent="0.35">
      <c r="A57">
        <v>1963</v>
      </c>
      <c r="B57" s="1">
        <f>DATE(_dat80[[#This Row],[Year]],_dat80[[#This Row],[Quarter]]*3-1,15)</f>
        <v>23330</v>
      </c>
      <c r="C57" s="2">
        <f>_dat80[[#This Row],[Year]]+(_dat80[[#This Row],[Quarter]]-1)/4+1/8</f>
        <v>1963.875</v>
      </c>
      <c r="D57" s="2">
        <f>_dat80[[#This Row],[DecDate]]^2</f>
        <v>3856805.015625</v>
      </c>
      <c r="E57">
        <v>4</v>
      </c>
      <c r="F57">
        <v>868</v>
      </c>
      <c r="G57">
        <f>LN(_dat80[[#This Row],[Expenditure]])</f>
        <v>6.7661917146603505</v>
      </c>
      <c r="H57">
        <f>_dat80[[#This Row],[LOG(Expenditure 80)]]-G56</f>
        <v>-4.7252884850545129E-2</v>
      </c>
      <c r="I57">
        <f>(1+(_dat80[[#This Row],[Expenditure]]-F56)/F56)^12-1</f>
        <v>-0.43279507353029389</v>
      </c>
      <c r="J57" s="2">
        <f>$W$17+$W$18*_dat80[[#This Row],[DecDate]]</f>
        <v>898.5937469713208</v>
      </c>
      <c r="K57" s="2">
        <f>$W$40+$W$41*_dat80[[#This Row],[DecDate]]+_dat80[[#This Row],[DecDate^2]]*$W$42</f>
        <v>899.958888754496</v>
      </c>
      <c r="L57" s="2">
        <f>$AG$17+_dat80[[#This Row],[DecDate]]*$AG$18</f>
        <v>6.8023531048672803</v>
      </c>
      <c r="M57" s="2">
        <f>$AG$40+$AG$41*_dat80[[#This Row],[DecDate]]+_dat80[[#This Row],[DecDate^2]]*$AG$42</f>
        <v>6.802387704876077</v>
      </c>
      <c r="N57" s="2">
        <f>_dat80[[#This Row],[LOG(Expenditure 80)]]-_dat80[[#This Row],[Linear Trend LOG]]</f>
        <v>-3.6161390206929767E-2</v>
      </c>
      <c r="O57" s="2">
        <f t="shared" si="0"/>
        <v>-6.2828467636517611E-4</v>
      </c>
      <c r="P57" s="2">
        <f>_dat80[[#This Row],[Cycle 80]]+_dat80[[#This Row],[Linear Trend LOG]]</f>
        <v>6.8017248201909153</v>
      </c>
      <c r="Q57" s="2">
        <f>_dat80[[#This Row],[Detrend(Linear)]]-_dat80[[#This Row],[Cycle 80]]</f>
        <v>-3.5533105530564588E-2</v>
      </c>
      <c r="R57" s="2">
        <f>AVERAGEIF(_dat80[Quarter],_dat80[[#This Row],[Quarter]],_dat80[High Frequency])</f>
        <v>-2.9622809170614002E-2</v>
      </c>
      <c r="S57" s="2">
        <f>_dat80[[#This Row],[S0]]-AVERAGE($R$2:$R$5)</f>
        <v>-2.9677627433763936E-2</v>
      </c>
    </row>
    <row r="58" spans="1:19" x14ac:dyDescent="0.35">
      <c r="A58">
        <v>1964</v>
      </c>
      <c r="B58" s="1">
        <f>DATE(_dat80[[#This Row],[Year]],_dat80[[#This Row],[Quarter]]*3-1,15)</f>
        <v>23422</v>
      </c>
      <c r="C58" s="2">
        <f>_dat80[[#This Row],[Year]]+(_dat80[[#This Row],[Quarter]]-1)/4+1/8</f>
        <v>1964.125</v>
      </c>
      <c r="D58" s="2">
        <f>_dat80[[#This Row],[DecDate]]^2</f>
        <v>3857787.015625</v>
      </c>
      <c r="E58">
        <v>1</v>
      </c>
      <c r="F58">
        <v>947</v>
      </c>
      <c r="G58">
        <f>LN(_dat80[[#This Row],[Expenditure]])</f>
        <v>6.8532990931860782</v>
      </c>
      <c r="H58">
        <f>_dat80[[#This Row],[LOG(Expenditure 80)]]-G57</f>
        <v>8.7107378525727697E-2</v>
      </c>
      <c r="I58">
        <f>(1+(_dat80[[#This Row],[Expenditure]]-F57)/F57)^12-1</f>
        <v>1.844219082803769</v>
      </c>
      <c r="J58" s="2">
        <f>$W$17+$W$18*_dat80[[#This Row],[DecDate]]</f>
        <v>900.51796645598188</v>
      </c>
      <c r="K58" s="2">
        <f>$W$40+$W$41*_dat80[[#This Row],[DecDate]]+_dat80[[#This Row],[DecDate^2]]*$W$42</f>
        <v>901.57456108187034</v>
      </c>
      <c r="L58" s="2">
        <f>$AG$17+_dat80[[#This Row],[DecDate]]*$AG$18</f>
        <v>6.8041684790396575</v>
      </c>
      <c r="M58" s="2">
        <f>$AG$40+$AG$41*_dat80[[#This Row],[DecDate]]+_dat80[[#This Row],[DecDate^2]]*$AG$42</f>
        <v>6.8041952588099353</v>
      </c>
      <c r="N58" s="2">
        <f>_dat80[[#This Row],[LOG(Expenditure 80)]]-_dat80[[#This Row],[Linear Trend LOG]]</f>
        <v>4.9130614146420726E-2</v>
      </c>
      <c r="O58" s="2">
        <f t="shared" si="0"/>
        <v>1.3489812928094481E-3</v>
      </c>
      <c r="P58" s="2">
        <f>_dat80[[#This Row],[Cycle 80]]+_dat80[[#This Row],[Linear Trend LOG]]</f>
        <v>6.8055174603324673</v>
      </c>
      <c r="Q58" s="2">
        <f>_dat80[[#This Row],[Detrend(Linear)]]-_dat80[[#This Row],[Cycle 80]]</f>
        <v>4.7781632853611276E-2</v>
      </c>
      <c r="R58" s="2">
        <f>AVERAGEIF(_dat80[Quarter],_dat80[[#This Row],[Quarter]],_dat80[High Frequency])</f>
        <v>3.3009459236017259E-2</v>
      </c>
      <c r="S58" s="2">
        <f>_dat80[[#This Row],[S0]]-AVERAGE($R$2:$R$5)</f>
        <v>3.2954640972867329E-2</v>
      </c>
    </row>
    <row r="59" spans="1:19" x14ac:dyDescent="0.35">
      <c r="A59">
        <v>1964</v>
      </c>
      <c r="B59" s="1">
        <f>DATE(_dat80[[#This Row],[Year]],_dat80[[#This Row],[Quarter]]*3-1,15)</f>
        <v>23512</v>
      </c>
      <c r="C59" s="2">
        <f>_dat80[[#This Row],[Year]]+(_dat80[[#This Row],[Quarter]]-1)/4+1/8</f>
        <v>1964.375</v>
      </c>
      <c r="D59" s="2">
        <f>_dat80[[#This Row],[DecDate]]^2</f>
        <v>3858769.140625</v>
      </c>
      <c r="E59">
        <v>2</v>
      </c>
      <c r="F59">
        <v>886</v>
      </c>
      <c r="G59">
        <f>LN(_dat80[[#This Row],[Expenditure]])</f>
        <v>6.7867169506050811</v>
      </c>
      <c r="H59">
        <f>_dat80[[#This Row],[LOG(Expenditure 80)]]-G58</f>
        <v>-6.658214258099715E-2</v>
      </c>
      <c r="I59">
        <f>(1+(_dat80[[#This Row],[Expenditure]]-F58)/F58)^12-1</f>
        <v>-0.55021505523550529</v>
      </c>
      <c r="J59" s="2">
        <f>$W$17+$W$18*_dat80[[#This Row],[DecDate]]</f>
        <v>902.44218594064114</v>
      </c>
      <c r="K59" s="2">
        <f>$W$40+$W$41*_dat80[[#This Row],[DecDate]]+_dat80[[#This Row],[DecDate^2]]*$W$42</f>
        <v>903.19382116687484</v>
      </c>
      <c r="L59" s="2">
        <f>$AG$17+_dat80[[#This Row],[DecDate]]*$AG$18</f>
        <v>6.8059838532120329</v>
      </c>
      <c r="M59" s="2">
        <f>$AG$40+$AG$41*_dat80[[#This Row],[DecDate]]+_dat80[[#This Row],[DecDate^2]]*$AG$42</f>
        <v>6.8060029036767986</v>
      </c>
      <c r="N59" s="2">
        <f>_dat80[[#This Row],[LOG(Expenditure 80)]]-_dat80[[#This Row],[Linear Trend LOG]]</f>
        <v>-1.9266902606951852E-2</v>
      </c>
      <c r="O59" s="2">
        <f t="shared" si="0"/>
        <v>-9.9169698496764276E-3</v>
      </c>
      <c r="P59" s="2">
        <f>_dat80[[#This Row],[Cycle 80]]+_dat80[[#This Row],[Linear Trend LOG]]</f>
        <v>6.7960668833623563</v>
      </c>
      <c r="Q59" s="2">
        <f>_dat80[[#This Row],[Detrend(Linear)]]-_dat80[[#This Row],[Cycle 80]]</f>
        <v>-9.3499327572754247E-3</v>
      </c>
      <c r="R59" s="2">
        <f>AVERAGEIF(_dat80[Quarter],_dat80[[#This Row],[Quarter]],_dat80[High Frequency])</f>
        <v>-7.1142253495101353E-3</v>
      </c>
      <c r="S59" s="2">
        <f>_dat80[[#This Row],[S0]]-AVERAGE($R$2:$R$5)</f>
        <v>-7.1690436126600685E-3</v>
      </c>
    </row>
    <row r="60" spans="1:19" x14ac:dyDescent="0.35">
      <c r="A60">
        <v>1964</v>
      </c>
      <c r="B60" s="1">
        <f>DATE(_dat80[[#This Row],[Year]],_dat80[[#This Row],[Quarter]]*3-1,15)</f>
        <v>23604</v>
      </c>
      <c r="C60" s="2">
        <f>_dat80[[#This Row],[Year]]+(_dat80[[#This Row],[Quarter]]-1)/4+1/8</f>
        <v>1964.625</v>
      </c>
      <c r="D60" s="2">
        <f>_dat80[[#This Row],[DecDate]]^2</f>
        <v>3859751.390625</v>
      </c>
      <c r="E60">
        <v>3</v>
      </c>
      <c r="F60">
        <v>905</v>
      </c>
      <c r="G60">
        <f>LN(_dat80[[#This Row],[Expenditure]])</f>
        <v>6.8079349436999257</v>
      </c>
      <c r="H60">
        <f>_dat80[[#This Row],[LOG(Expenditure 80)]]-G59</f>
        <v>2.1217993094844623E-2</v>
      </c>
      <c r="I60">
        <f>(1+(_dat80[[#This Row],[Expenditure]]-F59)/F59)^12-1</f>
        <v>0.28996607185246259</v>
      </c>
      <c r="J60" s="2">
        <f>$W$17+$W$18*_dat80[[#This Row],[DecDate]]</f>
        <v>904.3664054253004</v>
      </c>
      <c r="K60" s="2">
        <f>$W$40+$W$41*_dat80[[#This Row],[DecDate]]+_dat80[[#This Row],[DecDate^2]]*$W$42</f>
        <v>904.81666900949494</v>
      </c>
      <c r="L60" s="2">
        <f>$AG$17+_dat80[[#This Row],[DecDate]]*$AG$18</f>
        <v>6.8077992273844101</v>
      </c>
      <c r="M60" s="2">
        <f>$AG$40+$AG$41*_dat80[[#This Row],[DecDate]]+_dat80[[#This Row],[DecDate^2]]*$AG$42</f>
        <v>6.8078106394766698</v>
      </c>
      <c r="N60" s="2">
        <f>_dat80[[#This Row],[LOG(Expenditure 80)]]-_dat80[[#This Row],[Linear Trend LOG]]</f>
        <v>1.3571631551556607E-4</v>
      </c>
      <c r="O60" s="2">
        <f t="shared" si="0"/>
        <v>4.8425695725681454E-3</v>
      </c>
      <c r="P60" s="2">
        <f>_dat80[[#This Row],[Cycle 80]]+_dat80[[#This Row],[Linear Trend LOG]]</f>
        <v>6.8126417969569779</v>
      </c>
      <c r="Q60" s="2">
        <f>_dat80[[#This Row],[Detrend(Linear)]]-_dat80[[#This Row],[Cycle 80]]</f>
        <v>-4.7068532570525793E-3</v>
      </c>
      <c r="R60" s="2">
        <f>AVERAGEIF(_dat80[Quarter],_dat80[[#This Row],[Quarter]],_dat80[High Frequency])</f>
        <v>3.946848336706609E-3</v>
      </c>
      <c r="S60" s="2">
        <f>_dat80[[#This Row],[S0]]-AVERAGE($R$2:$R$5)</f>
        <v>3.8920300735566758E-3</v>
      </c>
    </row>
    <row r="61" spans="1:19" x14ac:dyDescent="0.35">
      <c r="A61">
        <v>1964</v>
      </c>
      <c r="B61" s="1">
        <f>DATE(_dat80[[#This Row],[Year]],_dat80[[#This Row],[Quarter]]*3-1,15)</f>
        <v>23696</v>
      </c>
      <c r="C61" s="2">
        <f>_dat80[[#This Row],[Year]]+(_dat80[[#This Row],[Quarter]]-1)/4+1/8</f>
        <v>1964.875</v>
      </c>
      <c r="D61" s="2">
        <f>_dat80[[#This Row],[DecDate]]^2</f>
        <v>3860733.765625</v>
      </c>
      <c r="E61">
        <v>4</v>
      </c>
      <c r="F61">
        <v>868</v>
      </c>
      <c r="G61">
        <f>LN(_dat80[[#This Row],[Expenditure]])</f>
        <v>6.7661917146603505</v>
      </c>
      <c r="H61">
        <f>_dat80[[#This Row],[LOG(Expenditure 80)]]-G60</f>
        <v>-4.1743229039575169E-2</v>
      </c>
      <c r="I61">
        <f>(1+(_dat80[[#This Row],[Expenditure]]-F60)/F60)^12-1</f>
        <v>-0.39402633349845373</v>
      </c>
      <c r="J61" s="2">
        <f>$W$17+$W$18*_dat80[[#This Row],[DecDate]]</f>
        <v>906.29062490995966</v>
      </c>
      <c r="K61" s="2">
        <f>$W$40+$W$41*_dat80[[#This Row],[DecDate]]+_dat80[[#This Row],[DecDate^2]]*$W$42</f>
        <v>906.44310460978886</v>
      </c>
      <c r="L61" s="2">
        <f>$AG$17+_dat80[[#This Row],[DecDate]]*$AG$18</f>
        <v>6.8096146015567873</v>
      </c>
      <c r="M61" s="2">
        <f>$AG$40+$AG$41*_dat80[[#This Row],[DecDate]]+_dat80[[#This Row],[DecDate^2]]*$AG$42</f>
        <v>6.8096184662095451</v>
      </c>
      <c r="N61" s="2">
        <f>_dat80[[#This Row],[LOG(Expenditure 80)]]-_dat80[[#This Row],[Linear Trend LOG]]</f>
        <v>-4.3422886896436808E-2</v>
      </c>
      <c r="O61" s="2">
        <f t="shared" si="0"/>
        <v>-8.2678795820529064E-3</v>
      </c>
      <c r="P61" s="2">
        <f>_dat80[[#This Row],[Cycle 80]]+_dat80[[#This Row],[Linear Trend LOG]]</f>
        <v>6.8013467219747348</v>
      </c>
      <c r="Q61" s="2">
        <f>_dat80[[#This Row],[Detrend(Linear)]]-_dat80[[#This Row],[Cycle 80]]</f>
        <v>-3.5155007314383903E-2</v>
      </c>
      <c r="R61" s="2">
        <f>AVERAGEIF(_dat80[Quarter],_dat80[[#This Row],[Quarter]],_dat80[High Frequency])</f>
        <v>-2.9622809170614002E-2</v>
      </c>
      <c r="S61" s="2">
        <f>_dat80[[#This Row],[S0]]-AVERAGE($R$2:$R$5)</f>
        <v>-2.9677627433763936E-2</v>
      </c>
    </row>
    <row r="62" spans="1:19" x14ac:dyDescent="0.35">
      <c r="A62">
        <v>1965</v>
      </c>
      <c r="B62" s="1">
        <f>DATE(_dat80[[#This Row],[Year]],_dat80[[#This Row],[Quarter]]*3-1,15)</f>
        <v>23788</v>
      </c>
      <c r="C62" s="2">
        <f>_dat80[[#This Row],[Year]]+(_dat80[[#This Row],[Quarter]]-1)/4+1/8</f>
        <v>1965.125</v>
      </c>
      <c r="D62" s="2">
        <f>_dat80[[#This Row],[DecDate]]^2</f>
        <v>3861716.265625</v>
      </c>
      <c r="E62">
        <v>1</v>
      </c>
      <c r="F62">
        <v>943</v>
      </c>
      <c r="G62">
        <f>LN(_dat80[[#This Row],[Expenditure]])</f>
        <v>6.8490662826334576</v>
      </c>
      <c r="H62">
        <f>_dat80[[#This Row],[LOG(Expenditure 80)]]-G61</f>
        <v>8.2874567973107105E-2</v>
      </c>
      <c r="I62">
        <f>(1+(_dat80[[#This Row],[Expenditure]]-F61)/F61)^12-1</f>
        <v>1.70335830202484</v>
      </c>
      <c r="J62" s="2">
        <f>$W$17+$W$18*_dat80[[#This Row],[DecDate]]</f>
        <v>908.21484439461892</v>
      </c>
      <c r="K62" s="2">
        <f>$W$40+$W$41*_dat80[[#This Row],[DecDate]]+_dat80[[#This Row],[DecDate^2]]*$W$42</f>
        <v>908.07312796772749</v>
      </c>
      <c r="L62" s="2">
        <f>$AG$17+_dat80[[#This Row],[DecDate]]*$AG$18</f>
        <v>6.8114299757291645</v>
      </c>
      <c r="M62" s="2">
        <f>$AG$40+$AG$41*_dat80[[#This Row],[DecDate]]+_dat80[[#This Row],[DecDate^2]]*$AG$42</f>
        <v>6.8114263838754283</v>
      </c>
      <c r="N62" s="2">
        <f>_dat80[[#This Row],[LOG(Expenditure 80)]]-_dat80[[#This Row],[Linear Trend LOG]]</f>
        <v>3.7636306904293093E-2</v>
      </c>
      <c r="O62" s="2">
        <f t="shared" si="0"/>
        <v>-1.9007969748756181E-3</v>
      </c>
      <c r="P62" s="2">
        <f>_dat80[[#This Row],[Cycle 80]]+_dat80[[#This Row],[Linear Trend LOG]]</f>
        <v>6.8095291787542891</v>
      </c>
      <c r="Q62" s="2">
        <f>_dat80[[#This Row],[Detrend(Linear)]]-_dat80[[#This Row],[Cycle 80]]</f>
        <v>3.9537103879168714E-2</v>
      </c>
      <c r="R62" s="2">
        <f>AVERAGEIF(_dat80[Quarter],_dat80[[#This Row],[Quarter]],_dat80[High Frequency])</f>
        <v>3.3009459236017259E-2</v>
      </c>
      <c r="S62" s="2">
        <f>_dat80[[#This Row],[S0]]-AVERAGE($R$2:$R$5)</f>
        <v>3.2954640972867329E-2</v>
      </c>
    </row>
    <row r="63" spans="1:19" x14ac:dyDescent="0.35">
      <c r="A63">
        <v>1965</v>
      </c>
      <c r="B63" s="1">
        <f>DATE(_dat80[[#This Row],[Year]],_dat80[[#This Row],[Quarter]]*3-1,15)</f>
        <v>23877</v>
      </c>
      <c r="C63" s="2">
        <f>_dat80[[#This Row],[Year]]+(_dat80[[#This Row],[Quarter]]-1)/4+1/8</f>
        <v>1965.375</v>
      </c>
      <c r="D63" s="2">
        <f>_dat80[[#This Row],[DecDate]]^2</f>
        <v>3862698.890625</v>
      </c>
      <c r="E63">
        <v>2</v>
      </c>
      <c r="F63">
        <v>895</v>
      </c>
      <c r="G63">
        <f>LN(_dat80[[#This Row],[Expenditure]])</f>
        <v>6.7968237182748554</v>
      </c>
      <c r="H63">
        <f>_dat80[[#This Row],[LOG(Expenditure 80)]]-G62</f>
        <v>-5.2242564358602195E-2</v>
      </c>
      <c r="I63">
        <f>(1+(_dat80[[#This Row],[Expenditure]]-F62)/F62)^12-1</f>
        <v>-0.4657603576823397</v>
      </c>
      <c r="J63" s="2">
        <f>$W$17+$W$18*_dat80[[#This Row],[DecDate]]</f>
        <v>910.13906387927818</v>
      </c>
      <c r="K63" s="2">
        <f>$W$40+$W$41*_dat80[[#This Row],[DecDate]]+_dat80[[#This Row],[DecDate^2]]*$W$42</f>
        <v>909.70673908331082</v>
      </c>
      <c r="L63" s="2">
        <f>$AG$17+_dat80[[#This Row],[DecDate]]*$AG$18</f>
        <v>6.81324534990154</v>
      </c>
      <c r="M63" s="2">
        <f>$AG$40+$AG$41*_dat80[[#This Row],[DecDate]]+_dat80[[#This Row],[DecDate^2]]*$AG$42</f>
        <v>6.8132343924743157</v>
      </c>
      <c r="N63" s="2">
        <f>_dat80[[#This Row],[LOG(Expenditure 80)]]-_dat80[[#This Row],[Linear Trend LOG]]</f>
        <v>-1.642163162668453E-2</v>
      </c>
      <c r="O63" s="2">
        <f t="shared" si="0"/>
        <v>-8.1856308856517405E-3</v>
      </c>
      <c r="P63" s="2">
        <f>_dat80[[#This Row],[Cycle 80]]+_dat80[[#This Row],[Linear Trend LOG]]</f>
        <v>6.8050597190158886</v>
      </c>
      <c r="Q63" s="2">
        <f>_dat80[[#This Row],[Detrend(Linear)]]-_dat80[[#This Row],[Cycle 80]]</f>
        <v>-8.2360007410327892E-3</v>
      </c>
      <c r="R63" s="2">
        <f>AVERAGEIF(_dat80[Quarter],_dat80[[#This Row],[Quarter]],_dat80[High Frequency])</f>
        <v>-7.1142253495101353E-3</v>
      </c>
      <c r="S63" s="2">
        <f>_dat80[[#This Row],[S0]]-AVERAGE($R$2:$R$5)</f>
        <v>-7.1690436126600685E-3</v>
      </c>
    </row>
    <row r="64" spans="1:19" x14ac:dyDescent="0.35">
      <c r="A64">
        <v>1965</v>
      </c>
      <c r="B64" s="1">
        <f>DATE(_dat80[[#This Row],[Year]],_dat80[[#This Row],[Quarter]]*3-1,15)</f>
        <v>23969</v>
      </c>
      <c r="C64" s="2">
        <f>_dat80[[#This Row],[Year]]+(_dat80[[#This Row],[Quarter]]-1)/4+1/8</f>
        <v>1965.625</v>
      </c>
      <c r="D64" s="2">
        <f>_dat80[[#This Row],[DecDate]]^2</f>
        <v>3863681.640625</v>
      </c>
      <c r="E64">
        <v>3</v>
      </c>
      <c r="F64">
        <v>923</v>
      </c>
      <c r="G64">
        <f>LN(_dat80[[#This Row],[Expenditure]])</f>
        <v>6.8276292345028518</v>
      </c>
      <c r="H64">
        <f>_dat80[[#This Row],[LOG(Expenditure 80)]]-G63</f>
        <v>3.0805516227996321E-2</v>
      </c>
      <c r="I64">
        <f>(1+(_dat80[[#This Row],[Expenditure]]-F63)/F63)^12-1</f>
        <v>0.44725143387665089</v>
      </c>
      <c r="J64" s="2">
        <f>$W$17+$W$18*_dat80[[#This Row],[DecDate]]</f>
        <v>912.06328336393744</v>
      </c>
      <c r="K64" s="2">
        <f>$W$40+$W$41*_dat80[[#This Row],[DecDate]]+_dat80[[#This Row],[DecDate^2]]*$W$42</f>
        <v>911.34393795650976</v>
      </c>
      <c r="L64" s="2">
        <f>$AG$17+_dat80[[#This Row],[DecDate]]*$AG$18</f>
        <v>6.8150607240739172</v>
      </c>
      <c r="M64" s="2">
        <f>$AG$40+$AG$41*_dat80[[#This Row],[DecDate]]+_dat80[[#This Row],[DecDate^2]]*$AG$42</f>
        <v>6.8150424920062083</v>
      </c>
      <c r="N64" s="2">
        <f>_dat80[[#This Row],[LOG(Expenditure 80)]]-_dat80[[#This Row],[Linear Trend LOG]]</f>
        <v>1.2568510428934587E-2</v>
      </c>
      <c r="O64" s="2">
        <f t="shared" si="0"/>
        <v>9.7302076040737262E-3</v>
      </c>
      <c r="P64" s="2">
        <f>_dat80[[#This Row],[Cycle 80]]+_dat80[[#This Row],[Linear Trend LOG]]</f>
        <v>6.8247909316779909</v>
      </c>
      <c r="Q64" s="2">
        <f>_dat80[[#This Row],[Detrend(Linear)]]-_dat80[[#This Row],[Cycle 80]]</f>
        <v>2.8383028248608611E-3</v>
      </c>
      <c r="R64" s="2">
        <f>AVERAGEIF(_dat80[Quarter],_dat80[[#This Row],[Quarter]],_dat80[High Frequency])</f>
        <v>3.946848336706609E-3</v>
      </c>
      <c r="S64" s="2">
        <f>_dat80[[#This Row],[S0]]-AVERAGE($R$2:$R$5)</f>
        <v>3.8920300735566758E-3</v>
      </c>
    </row>
    <row r="65" spans="1:19" x14ac:dyDescent="0.35">
      <c r="A65">
        <v>1965</v>
      </c>
      <c r="B65" s="1">
        <f>DATE(_dat80[[#This Row],[Year]],_dat80[[#This Row],[Quarter]]*3-1,15)</f>
        <v>24061</v>
      </c>
      <c r="C65" s="2">
        <f>_dat80[[#This Row],[Year]]+(_dat80[[#This Row],[Quarter]]-1)/4+1/8</f>
        <v>1965.875</v>
      </c>
      <c r="D65" s="2">
        <f>_dat80[[#This Row],[DecDate]]^2</f>
        <v>3864664.515625</v>
      </c>
      <c r="E65">
        <v>4</v>
      </c>
      <c r="F65">
        <v>885</v>
      </c>
      <c r="G65">
        <f>LN(_dat80[[#This Row],[Expenditure]])</f>
        <v>6.7855876450079293</v>
      </c>
      <c r="H65">
        <f>_dat80[[#This Row],[LOG(Expenditure 80)]]-G64</f>
        <v>-4.2041589494922427E-2</v>
      </c>
      <c r="I65">
        <f>(1+(_dat80[[#This Row],[Expenditure]]-F64)/F64)^12-1</f>
        <v>-0.39619203717177109</v>
      </c>
      <c r="J65" s="2">
        <f>$W$17+$W$18*_dat80[[#This Row],[DecDate]]</f>
        <v>913.98750284859671</v>
      </c>
      <c r="K65" s="2">
        <f>$W$40+$W$41*_dat80[[#This Row],[DecDate]]+_dat80[[#This Row],[DecDate^2]]*$W$42</f>
        <v>912.98472458738252</v>
      </c>
      <c r="L65" s="2">
        <f>$AG$17+_dat80[[#This Row],[DecDate]]*$AG$18</f>
        <v>6.8168760982462944</v>
      </c>
      <c r="M65" s="2">
        <f>$AG$40+$AG$41*_dat80[[#This Row],[DecDate]]+_dat80[[#This Row],[DecDate^2]]*$AG$42</f>
        <v>6.8168506824711095</v>
      </c>
      <c r="N65" s="2">
        <f>_dat80[[#This Row],[LOG(Expenditure 80)]]-_dat80[[#This Row],[Linear Trend LOG]]</f>
        <v>-3.1288453238365044E-2</v>
      </c>
      <c r="O65" s="2">
        <f t="shared" si="0"/>
        <v>-7.5391241159721294E-4</v>
      </c>
      <c r="P65" s="2">
        <f>_dat80[[#This Row],[Cycle 80]]+_dat80[[#This Row],[Linear Trend LOG]]</f>
        <v>6.816122185834697</v>
      </c>
      <c r="Q65" s="2">
        <f>_dat80[[#This Row],[Detrend(Linear)]]-_dat80[[#This Row],[Cycle 80]]</f>
        <v>-3.053454082676783E-2</v>
      </c>
      <c r="R65" s="2">
        <f>AVERAGEIF(_dat80[Quarter],_dat80[[#This Row],[Quarter]],_dat80[High Frequency])</f>
        <v>-2.9622809170614002E-2</v>
      </c>
      <c r="S65" s="2">
        <f>_dat80[[#This Row],[S0]]-AVERAGE($R$2:$R$5)</f>
        <v>-2.9677627433763936E-2</v>
      </c>
    </row>
    <row r="66" spans="1:19" x14ac:dyDescent="0.35">
      <c r="A66">
        <v>1966</v>
      </c>
      <c r="B66" s="1">
        <f>DATE(_dat80[[#This Row],[Year]],_dat80[[#This Row],[Quarter]]*3-1,15)</f>
        <v>24153</v>
      </c>
      <c r="C66" s="2">
        <f>_dat80[[#This Row],[Year]]+(_dat80[[#This Row],[Quarter]]-1)/4+1/8</f>
        <v>1966.125</v>
      </c>
      <c r="D66" s="2">
        <f>_dat80[[#This Row],[DecDate]]^2</f>
        <v>3865647.515625</v>
      </c>
      <c r="E66">
        <v>1</v>
      </c>
      <c r="F66">
        <v>958</v>
      </c>
      <c r="G66">
        <f>LN(_dat80[[#This Row],[Expenditure]])</f>
        <v>6.8648477779708603</v>
      </c>
      <c r="H66">
        <f>_dat80[[#This Row],[LOG(Expenditure 80)]]-G65</f>
        <v>7.9260132962930996E-2</v>
      </c>
      <c r="I66">
        <f>(1+(_dat80[[#This Row],[Expenditure]]-F65)/F65)^12-1</f>
        <v>1.5886114067660295</v>
      </c>
      <c r="J66" s="2">
        <f>$W$17+$W$18*_dat80[[#This Row],[DecDate]]</f>
        <v>915.91172233325779</v>
      </c>
      <c r="K66" s="2">
        <f>$W$40+$W$41*_dat80[[#This Row],[DecDate]]+_dat80[[#This Row],[DecDate^2]]*$W$42</f>
        <v>914.62909897588543</v>
      </c>
      <c r="L66" s="2">
        <f>$AG$17+_dat80[[#This Row],[DecDate]]*$AG$18</f>
        <v>6.8186914724186698</v>
      </c>
      <c r="M66" s="2">
        <f>$AG$40+$AG$41*_dat80[[#This Row],[DecDate]]+_dat80[[#This Row],[DecDate^2]]*$AG$42</f>
        <v>6.8186589638690158</v>
      </c>
      <c r="N66" s="2">
        <f>_dat80[[#This Row],[LOG(Expenditure 80)]]-_dat80[[#This Row],[Linear Trend LOG]]</f>
        <v>4.6156305552190524E-2</v>
      </c>
      <c r="O66" s="2">
        <f t="shared" si="0"/>
        <v>4.8877175238224877E-3</v>
      </c>
      <c r="P66" s="2">
        <f>_dat80[[#This Row],[Cycle 80]]+_dat80[[#This Row],[Linear Trend LOG]]</f>
        <v>6.8235791899424925</v>
      </c>
      <c r="Q66" s="2">
        <f>_dat80[[#This Row],[Detrend(Linear)]]-_dat80[[#This Row],[Cycle 80]]</f>
        <v>4.1268588028368039E-2</v>
      </c>
      <c r="R66" s="2">
        <f>AVERAGEIF(_dat80[Quarter],_dat80[[#This Row],[Quarter]],_dat80[High Frequency])</f>
        <v>3.3009459236017259E-2</v>
      </c>
      <c r="S66" s="2">
        <f>_dat80[[#This Row],[S0]]-AVERAGE($R$2:$R$5)</f>
        <v>3.2954640972867329E-2</v>
      </c>
    </row>
    <row r="67" spans="1:19" x14ac:dyDescent="0.35">
      <c r="A67">
        <v>1966</v>
      </c>
      <c r="B67" s="1">
        <f>DATE(_dat80[[#This Row],[Year]],_dat80[[#This Row],[Quarter]]*3-1,15)</f>
        <v>24242</v>
      </c>
      <c r="C67" s="2">
        <f>_dat80[[#This Row],[Year]]+(_dat80[[#This Row],[Quarter]]-1)/4+1/8</f>
        <v>1966.375</v>
      </c>
      <c r="D67" s="2">
        <f>_dat80[[#This Row],[DecDate]]^2</f>
        <v>3866630.640625</v>
      </c>
      <c r="E67">
        <v>2</v>
      </c>
      <c r="F67">
        <v>903</v>
      </c>
      <c r="G67">
        <f>LN(_dat80[[#This Row],[Expenditure]])</f>
        <v>6.8057225534169854</v>
      </c>
      <c r="H67">
        <f>_dat80[[#This Row],[LOG(Expenditure 80)]]-G66</f>
        <v>-5.9125224553874922E-2</v>
      </c>
      <c r="I67">
        <f>(1+(_dat80[[#This Row],[Expenditure]]-F66)/F66)^12-1</f>
        <v>-0.50811124444263567</v>
      </c>
      <c r="J67" s="2">
        <f>$W$17+$W$18*_dat80[[#This Row],[DecDate]]</f>
        <v>917.83594181791705</v>
      </c>
      <c r="K67" s="2">
        <f>$W$40+$W$41*_dat80[[#This Row],[DecDate]]+_dat80[[#This Row],[DecDate^2]]*$W$42</f>
        <v>916.27706112203305</v>
      </c>
      <c r="L67" s="2">
        <f>$AG$17+_dat80[[#This Row],[DecDate]]*$AG$18</f>
        <v>6.820506846591047</v>
      </c>
      <c r="M67" s="2">
        <f>$AG$40+$AG$41*_dat80[[#This Row],[DecDate]]+_dat80[[#This Row],[DecDate^2]]*$AG$42</f>
        <v>6.8204673361999291</v>
      </c>
      <c r="N67" s="2">
        <f>_dat80[[#This Row],[LOG(Expenditure 80)]]-_dat80[[#This Row],[Linear Trend LOG]]</f>
        <v>-1.4784293174061602E-2</v>
      </c>
      <c r="O67" s="2">
        <f t="shared" si="0"/>
        <v>-3.760277033122783E-3</v>
      </c>
      <c r="P67" s="2">
        <f>_dat80[[#This Row],[Cycle 80]]+_dat80[[#This Row],[Linear Trend LOG]]</f>
        <v>6.8167465695579246</v>
      </c>
      <c r="Q67" s="2">
        <f>_dat80[[#This Row],[Detrend(Linear)]]-_dat80[[#This Row],[Cycle 80]]</f>
        <v>-1.1024016140938819E-2</v>
      </c>
      <c r="R67" s="2">
        <f>AVERAGEIF(_dat80[Quarter],_dat80[[#This Row],[Quarter]],_dat80[High Frequency])</f>
        <v>-7.1142253495101353E-3</v>
      </c>
      <c r="S67" s="2">
        <f>_dat80[[#This Row],[S0]]-AVERAGE($R$2:$R$5)</f>
        <v>-7.1690436126600685E-3</v>
      </c>
    </row>
    <row r="68" spans="1:19" x14ac:dyDescent="0.35">
      <c r="A68">
        <v>1966</v>
      </c>
      <c r="B68" s="1">
        <f>DATE(_dat80[[#This Row],[Year]],_dat80[[#This Row],[Quarter]]*3-1,15)</f>
        <v>24334</v>
      </c>
      <c r="C68" s="2">
        <f>_dat80[[#This Row],[Year]]+(_dat80[[#This Row],[Quarter]]-1)/4+1/8</f>
        <v>1966.625</v>
      </c>
      <c r="D68" s="2">
        <f>_dat80[[#This Row],[DecDate]]^2</f>
        <v>3867613.890625</v>
      </c>
      <c r="E68">
        <v>3</v>
      </c>
      <c r="F68">
        <v>929</v>
      </c>
      <c r="G68">
        <f>LN(_dat80[[#This Row],[Expenditure]])</f>
        <v>6.8341087388138382</v>
      </c>
      <c r="H68">
        <f>_dat80[[#This Row],[LOG(Expenditure 80)]]-G67</f>
        <v>2.8386185396852781E-2</v>
      </c>
      <c r="I68">
        <f>(1+(_dat80[[#This Row],[Expenditure]]-F67)/F67)^12-1</f>
        <v>0.40583892573871472</v>
      </c>
      <c r="J68" s="2">
        <f>$W$17+$W$18*_dat80[[#This Row],[DecDate]]</f>
        <v>919.76016130257631</v>
      </c>
      <c r="K68" s="2">
        <f>$W$40+$W$41*_dat80[[#This Row],[DecDate]]+_dat80[[#This Row],[DecDate^2]]*$W$42</f>
        <v>917.92861102583993</v>
      </c>
      <c r="L68" s="2">
        <f>$AG$17+_dat80[[#This Row],[DecDate]]*$AG$18</f>
        <v>6.8223222207634242</v>
      </c>
      <c r="M68" s="2">
        <f>$AG$40+$AG$41*_dat80[[#This Row],[DecDate]]+_dat80[[#This Row],[DecDate^2]]*$AG$42</f>
        <v>6.8222757994638457</v>
      </c>
      <c r="N68" s="2">
        <f>_dat80[[#This Row],[LOG(Expenditure 80)]]-_dat80[[#This Row],[Linear Trend LOG]]</f>
        <v>1.1786518050413974E-2</v>
      </c>
      <c r="O68" s="2">
        <f t="shared" si="0"/>
        <v>1.2146518883573699E-2</v>
      </c>
      <c r="P68" s="2">
        <f>_dat80[[#This Row],[Cycle 80]]+_dat80[[#This Row],[Linear Trend LOG]]</f>
        <v>6.8344687396469981</v>
      </c>
      <c r="Q68" s="2">
        <f>_dat80[[#This Row],[Detrend(Linear)]]-_dat80[[#This Row],[Cycle 80]]</f>
        <v>-3.6000083315972445E-4</v>
      </c>
      <c r="R68" s="2">
        <f>AVERAGEIF(_dat80[Quarter],_dat80[[#This Row],[Quarter]],_dat80[High Frequency])</f>
        <v>3.946848336706609E-3</v>
      </c>
      <c r="S68" s="2">
        <f>_dat80[[#This Row],[S0]]-AVERAGE($R$2:$R$5)</f>
        <v>3.8920300735566758E-3</v>
      </c>
    </row>
    <row r="69" spans="1:19" x14ac:dyDescent="0.35">
      <c r="A69">
        <v>1966</v>
      </c>
      <c r="B69" s="1">
        <f>DATE(_dat80[[#This Row],[Year]],_dat80[[#This Row],[Quarter]]*3-1,15)</f>
        <v>24426</v>
      </c>
      <c r="C69" s="2">
        <f>_dat80[[#This Row],[Year]]+(_dat80[[#This Row],[Quarter]]-1)/4+1/8</f>
        <v>1966.875</v>
      </c>
      <c r="D69" s="2">
        <f>_dat80[[#This Row],[DecDate]]^2</f>
        <v>3868597.265625</v>
      </c>
      <c r="E69">
        <v>4</v>
      </c>
      <c r="F69">
        <v>892</v>
      </c>
      <c r="G69">
        <f>LN(_dat80[[#This Row],[Expenditure]])</f>
        <v>6.7934661325800096</v>
      </c>
      <c r="H69">
        <f>_dat80[[#This Row],[LOG(Expenditure 80)]]-G68</f>
        <v>-4.0642606233828538E-2</v>
      </c>
      <c r="I69">
        <f>(1+(_dat80[[#This Row],[Expenditure]]-F68)/F68)^12-1</f>
        <v>-0.38596986657875809</v>
      </c>
      <c r="J69" s="2">
        <f>$W$17+$W$18*_dat80[[#This Row],[DecDate]]</f>
        <v>921.68438078723557</v>
      </c>
      <c r="K69" s="2">
        <f>$W$40+$W$41*_dat80[[#This Row],[DecDate]]+_dat80[[#This Row],[DecDate^2]]*$W$42</f>
        <v>919.58374868724786</v>
      </c>
      <c r="L69" s="2">
        <f>$AG$17+_dat80[[#This Row],[DecDate]]*$AG$18</f>
        <v>6.8241375949358014</v>
      </c>
      <c r="M69" s="2">
        <f>$AG$40+$AG$41*_dat80[[#This Row],[DecDate]]+_dat80[[#This Row],[DecDate^2]]*$AG$42</f>
        <v>6.8240843536607692</v>
      </c>
      <c r="N69" s="2">
        <f>_dat80[[#This Row],[LOG(Expenditure 80)]]-_dat80[[#This Row],[Linear Trend LOG]]</f>
        <v>-3.0671462355791768E-2</v>
      </c>
      <c r="O69" s="2">
        <f t="shared" si="0"/>
        <v>-3.8953516271647006E-4</v>
      </c>
      <c r="P69" s="2">
        <f>_dat80[[#This Row],[Cycle 80]]+_dat80[[#This Row],[Linear Trend LOG]]</f>
        <v>6.8237480597730853</v>
      </c>
      <c r="Q69" s="2">
        <f>_dat80[[#This Row],[Detrend(Linear)]]-_dat80[[#This Row],[Cycle 80]]</f>
        <v>-3.0281927193075299E-2</v>
      </c>
      <c r="R69" s="2">
        <f>AVERAGEIF(_dat80[Quarter],_dat80[[#This Row],[Quarter]],_dat80[High Frequency])</f>
        <v>-2.9622809170614002E-2</v>
      </c>
      <c r="S69" s="2">
        <f>_dat80[[#This Row],[S0]]-AVERAGE($R$2:$R$5)</f>
        <v>-2.9677627433763936E-2</v>
      </c>
    </row>
    <row r="70" spans="1:19" x14ac:dyDescent="0.35">
      <c r="A70">
        <v>1967</v>
      </c>
      <c r="B70" s="1">
        <f>DATE(_dat80[[#This Row],[Year]],_dat80[[#This Row],[Quarter]]*3-1,15)</f>
        <v>24518</v>
      </c>
      <c r="C70" s="2">
        <f>_dat80[[#This Row],[Year]]+(_dat80[[#This Row],[Quarter]]-1)/4+1/8</f>
        <v>1967.125</v>
      </c>
      <c r="D70" s="2">
        <f>_dat80[[#This Row],[DecDate]]^2</f>
        <v>3869580.765625</v>
      </c>
      <c r="E70">
        <v>1</v>
      </c>
      <c r="F70">
        <v>967</v>
      </c>
      <c r="G70">
        <f>LN(_dat80[[#This Row],[Expenditure]])</f>
        <v>6.8741984954532942</v>
      </c>
      <c r="H70">
        <f>_dat80[[#This Row],[LOG(Expenditure 80)]]-G69</f>
        <v>8.0732362873284558E-2</v>
      </c>
      <c r="I70">
        <f>(1+(_dat80[[#This Row],[Expenditure]]-F69)/F69)^12-1</f>
        <v>1.6347501413477796</v>
      </c>
      <c r="J70" s="2">
        <f>$W$17+$W$18*_dat80[[#This Row],[DecDate]]</f>
        <v>923.60860027189483</v>
      </c>
      <c r="K70" s="2">
        <f>$W$40+$W$41*_dat80[[#This Row],[DecDate]]+_dat80[[#This Row],[DecDate^2]]*$W$42</f>
        <v>921.24247410632961</v>
      </c>
      <c r="L70" s="2">
        <f>$AG$17+_dat80[[#This Row],[DecDate]]*$AG$18</f>
        <v>6.8259529691081768</v>
      </c>
      <c r="M70" s="2">
        <f>$AG$40+$AG$41*_dat80[[#This Row],[DecDate]]+_dat80[[#This Row],[DecDate^2]]*$AG$42</f>
        <v>6.8258929987907013</v>
      </c>
      <c r="N70" s="2">
        <f>_dat80[[#This Row],[LOG(Expenditure 80)]]-_dat80[[#This Row],[Linear Trend LOG]]</f>
        <v>4.8245526345117362E-2</v>
      </c>
      <c r="O70" s="2">
        <f t="shared" ref="O70:O133" si="1">AVERAGE(N68:N72)</f>
        <v>4.7598858392470687E-3</v>
      </c>
      <c r="P70" s="2">
        <f>_dat80[[#This Row],[Cycle 80]]+_dat80[[#This Row],[Linear Trend LOG]]</f>
        <v>6.8307128549474241</v>
      </c>
      <c r="Q70" s="2">
        <f>_dat80[[#This Row],[Detrend(Linear)]]-_dat80[[#This Row],[Cycle 80]]</f>
        <v>4.3485640505870296E-2</v>
      </c>
      <c r="R70" s="2">
        <f>AVERAGEIF(_dat80[Quarter],_dat80[[#This Row],[Quarter]],_dat80[High Frequency])</f>
        <v>3.3009459236017259E-2</v>
      </c>
      <c r="S70" s="2">
        <f>_dat80[[#This Row],[S0]]-AVERAGE($R$2:$R$5)</f>
        <v>3.2954640972867329E-2</v>
      </c>
    </row>
    <row r="71" spans="1:19" x14ac:dyDescent="0.35">
      <c r="A71">
        <v>1967</v>
      </c>
      <c r="B71" s="1">
        <f>DATE(_dat80[[#This Row],[Year]],_dat80[[#This Row],[Quarter]]*3-1,15)</f>
        <v>24607</v>
      </c>
      <c r="C71" s="2">
        <f>_dat80[[#This Row],[Year]]+(_dat80[[#This Row],[Quarter]]-1)/4+1/8</f>
        <v>1967.375</v>
      </c>
      <c r="D71" s="2">
        <f>_dat80[[#This Row],[DecDate]]^2</f>
        <v>3870564.390625</v>
      </c>
      <c r="E71">
        <v>2</v>
      </c>
      <c r="F71">
        <v>908</v>
      </c>
      <c r="G71">
        <f>LN(_dat80[[#This Row],[Expenditure]])</f>
        <v>6.8112443786012937</v>
      </c>
      <c r="H71">
        <f>_dat80[[#This Row],[LOG(Expenditure 80)]]-G70</f>
        <v>-6.2954116852000475E-2</v>
      </c>
      <c r="I71">
        <f>(1+(_dat80[[#This Row],[Expenditure]]-F70)/F70)^12-1</f>
        <v>-0.53020056162991391</v>
      </c>
      <c r="J71" s="2">
        <f>$W$17+$W$18*_dat80[[#This Row],[DecDate]]</f>
        <v>925.53281975655409</v>
      </c>
      <c r="K71" s="2">
        <f>$W$40+$W$41*_dat80[[#This Row],[DecDate]]+_dat80[[#This Row],[DecDate^2]]*$W$42</f>
        <v>922.90478728305607</v>
      </c>
      <c r="L71" s="2">
        <f>$AG$17+_dat80[[#This Row],[DecDate]]*$AG$18</f>
        <v>6.827768343280554</v>
      </c>
      <c r="M71" s="2">
        <f>$AG$40+$AG$41*_dat80[[#This Row],[DecDate]]+_dat80[[#This Row],[DecDate^2]]*$AG$42</f>
        <v>6.8277017348536369</v>
      </c>
      <c r="N71" s="2">
        <f>_dat80[[#This Row],[LOG(Expenditure 80)]]-_dat80[[#This Row],[Linear Trend LOG]]</f>
        <v>-1.6523964679260317E-2</v>
      </c>
      <c r="O71" s="2">
        <f t="shared" si="1"/>
        <v>-4.5124924409259744E-3</v>
      </c>
      <c r="P71" s="2">
        <f>_dat80[[#This Row],[Cycle 80]]+_dat80[[#This Row],[Linear Trend LOG]]</f>
        <v>6.8232558508396277</v>
      </c>
      <c r="Q71" s="2">
        <f>_dat80[[#This Row],[Detrend(Linear)]]-_dat80[[#This Row],[Cycle 80]]</f>
        <v>-1.2011472238334342E-2</v>
      </c>
      <c r="R71" s="2">
        <f>AVERAGEIF(_dat80[Quarter],_dat80[[#This Row],[Quarter]],_dat80[High Frequency])</f>
        <v>-7.1142253495101353E-3</v>
      </c>
      <c r="S71" s="2">
        <f>_dat80[[#This Row],[S0]]-AVERAGE($R$2:$R$5)</f>
        <v>-7.1690436126600685E-3</v>
      </c>
    </row>
    <row r="72" spans="1:19" x14ac:dyDescent="0.35">
      <c r="A72">
        <v>1967</v>
      </c>
      <c r="B72" s="1">
        <f>DATE(_dat80[[#This Row],[Year]],_dat80[[#This Row],[Quarter]]*3-1,15)</f>
        <v>24699</v>
      </c>
      <c r="C72" s="2">
        <f>_dat80[[#This Row],[Year]]+(_dat80[[#This Row],[Quarter]]-1)/4+1/8</f>
        <v>1967.625</v>
      </c>
      <c r="D72" s="2">
        <f>_dat80[[#This Row],[DecDate]]^2</f>
        <v>3871548.140625</v>
      </c>
      <c r="E72">
        <v>3</v>
      </c>
      <c r="F72">
        <v>935</v>
      </c>
      <c r="G72">
        <f>LN(_dat80[[#This Row],[Expenditure]])</f>
        <v>6.8405465292886873</v>
      </c>
      <c r="H72">
        <f>_dat80[[#This Row],[LOG(Expenditure 80)]]-G71</f>
        <v>2.9302150687393613E-2</v>
      </c>
      <c r="I72">
        <f>(1+(_dat80[[#This Row],[Expenditure]]-F71)/F71)^12-1</f>
        <v>0.42137655681295549</v>
      </c>
      <c r="J72" s="2">
        <f>$W$17+$W$18*_dat80[[#This Row],[DecDate]]</f>
        <v>927.45703924121335</v>
      </c>
      <c r="K72" s="2">
        <f>$W$40+$W$41*_dat80[[#This Row],[DecDate]]+_dat80[[#This Row],[DecDate^2]]*$W$42</f>
        <v>924.57068821742723</v>
      </c>
      <c r="L72" s="2">
        <f>$AG$17+_dat80[[#This Row],[DecDate]]*$AG$18</f>
        <v>6.8295837174529312</v>
      </c>
      <c r="M72" s="2">
        <f>$AG$40+$AG$41*_dat80[[#This Row],[DecDate]]+_dat80[[#This Row],[DecDate^2]]*$AG$42</f>
        <v>6.8295105618495793</v>
      </c>
      <c r="N72" s="2">
        <f>_dat80[[#This Row],[LOG(Expenditure 80)]]-_dat80[[#This Row],[Linear Trend LOG]]</f>
        <v>1.0962811835756092E-2</v>
      </c>
      <c r="O72" s="2">
        <f t="shared" si="1"/>
        <v>1.0438121170181346E-2</v>
      </c>
      <c r="P72" s="2">
        <f>_dat80[[#This Row],[Cycle 80]]+_dat80[[#This Row],[Linear Trend LOG]]</f>
        <v>6.8400218386231124</v>
      </c>
      <c r="Q72" s="2">
        <f>_dat80[[#This Row],[Detrend(Linear)]]-_dat80[[#This Row],[Cycle 80]]</f>
        <v>5.2469066557474589E-4</v>
      </c>
      <c r="R72" s="2">
        <f>AVERAGEIF(_dat80[Quarter],_dat80[[#This Row],[Quarter]],_dat80[High Frequency])</f>
        <v>3.946848336706609E-3</v>
      </c>
      <c r="S72" s="2">
        <f>_dat80[[#This Row],[S0]]-AVERAGE($R$2:$R$5)</f>
        <v>3.8920300735566758E-3</v>
      </c>
    </row>
    <row r="73" spans="1:19" x14ac:dyDescent="0.35">
      <c r="A73">
        <v>1967</v>
      </c>
      <c r="B73" s="1">
        <f>DATE(_dat80[[#This Row],[Year]],_dat80[[#This Row],[Quarter]]*3-1,15)</f>
        <v>24791</v>
      </c>
      <c r="C73" s="2">
        <f>_dat80[[#This Row],[Year]]+(_dat80[[#This Row],[Quarter]]-1)/4+1/8</f>
        <v>1967.875</v>
      </c>
      <c r="D73" s="2">
        <f>_dat80[[#This Row],[DecDate]]^2</f>
        <v>3872532.015625</v>
      </c>
      <c r="E73">
        <v>4</v>
      </c>
      <c r="F73">
        <v>895</v>
      </c>
      <c r="G73">
        <f>LN(_dat80[[#This Row],[Expenditure]])</f>
        <v>6.7968237182748554</v>
      </c>
      <c r="H73">
        <f>_dat80[[#This Row],[LOG(Expenditure 80)]]-G72</f>
        <v>-4.3722811013831908E-2</v>
      </c>
      <c r="I73">
        <f>(1+(_dat80[[#This Row],[Expenditure]]-F72)/F72)^12-1</f>
        <v>-0.40825159865658367</v>
      </c>
      <c r="J73" s="2">
        <f>$W$17+$W$18*_dat80[[#This Row],[DecDate]]</f>
        <v>929.38125872587261</v>
      </c>
      <c r="K73" s="2">
        <f>$W$40+$W$41*_dat80[[#This Row],[DecDate]]+_dat80[[#This Row],[DecDate^2]]*$W$42</f>
        <v>926.24017690939945</v>
      </c>
      <c r="L73" s="2">
        <f>$AG$17+_dat80[[#This Row],[DecDate]]*$AG$18</f>
        <v>6.8313990916253067</v>
      </c>
      <c r="M73" s="2">
        <f>$AG$40+$AG$41*_dat80[[#This Row],[DecDate]]+_dat80[[#This Row],[DecDate^2]]*$AG$42</f>
        <v>6.8313194797785268</v>
      </c>
      <c r="N73" s="2">
        <f>_dat80[[#This Row],[LOG(Expenditure 80)]]-_dat80[[#This Row],[Linear Trend LOG]]</f>
        <v>-3.4575373350451244E-2</v>
      </c>
      <c r="O73" s="2">
        <f t="shared" si="1"/>
        <v>-4.1884620698271037E-3</v>
      </c>
      <c r="P73" s="2">
        <f>_dat80[[#This Row],[Cycle 80]]+_dat80[[#This Row],[Linear Trend LOG]]</f>
        <v>6.8272106295554797</v>
      </c>
      <c r="Q73" s="2">
        <f>_dat80[[#This Row],[Detrend(Linear)]]-_dat80[[#This Row],[Cycle 80]]</f>
        <v>-3.0386911280624141E-2</v>
      </c>
      <c r="R73" s="2">
        <f>AVERAGEIF(_dat80[Quarter],_dat80[[#This Row],[Quarter]],_dat80[High Frequency])</f>
        <v>-2.9622809170614002E-2</v>
      </c>
      <c r="S73" s="2">
        <f>_dat80[[#This Row],[S0]]-AVERAGE($R$2:$R$5)</f>
        <v>-2.9677627433763936E-2</v>
      </c>
    </row>
    <row r="74" spans="1:19" x14ac:dyDescent="0.35">
      <c r="A74">
        <v>1968</v>
      </c>
      <c r="B74" s="1">
        <f>DATE(_dat80[[#This Row],[Year]],_dat80[[#This Row],[Quarter]]*3-1,15)</f>
        <v>24883</v>
      </c>
      <c r="C74" s="2">
        <f>_dat80[[#This Row],[Year]]+(_dat80[[#This Row],[Quarter]]-1)/4+1/8</f>
        <v>1968.125</v>
      </c>
      <c r="D74" s="2">
        <f>_dat80[[#This Row],[DecDate]]^2</f>
        <v>3873516.015625</v>
      </c>
      <c r="E74">
        <v>1</v>
      </c>
      <c r="F74">
        <v>970</v>
      </c>
      <c r="G74">
        <f>LN(_dat80[[#This Row],[Expenditure]])</f>
        <v>6.8772960714974287</v>
      </c>
      <c r="H74">
        <f>_dat80[[#This Row],[LOG(Expenditure 80)]]-G73</f>
        <v>8.047235322257329E-2</v>
      </c>
      <c r="I74">
        <f>(1+(_dat80[[#This Row],[Expenditure]]-F73)/F73)^12-1</f>
        <v>1.6265422272602086</v>
      </c>
      <c r="J74" s="2">
        <f>$W$17+$W$18*_dat80[[#This Row],[DecDate]]</f>
        <v>931.30547821053369</v>
      </c>
      <c r="K74" s="2">
        <f>$W$40+$W$41*_dat80[[#This Row],[DecDate]]+_dat80[[#This Row],[DecDate^2]]*$W$42</f>
        <v>927.91325335906004</v>
      </c>
      <c r="L74" s="2">
        <f>$AG$17+_dat80[[#This Row],[DecDate]]*$AG$18</f>
        <v>6.8332144657976839</v>
      </c>
      <c r="M74" s="2">
        <f>$AG$40+$AG$41*_dat80[[#This Row],[DecDate]]+_dat80[[#This Row],[DecDate^2]]*$AG$42</f>
        <v>6.8331284886404813</v>
      </c>
      <c r="N74" s="2">
        <f>_dat80[[#This Row],[LOG(Expenditure 80)]]-_dat80[[#This Row],[Linear Trend LOG]]</f>
        <v>4.4081605699744841E-2</v>
      </c>
      <c r="O74" s="2">
        <f t="shared" si="1"/>
        <v>9.2326309034760354E-4</v>
      </c>
      <c r="P74" s="2">
        <f>_dat80[[#This Row],[Cycle 80]]+_dat80[[#This Row],[Linear Trend LOG]]</f>
        <v>6.8341377288880318</v>
      </c>
      <c r="Q74" s="2">
        <f>_dat80[[#This Row],[Detrend(Linear)]]-_dat80[[#This Row],[Cycle 80]]</f>
        <v>4.3158342609397236E-2</v>
      </c>
      <c r="R74" s="2">
        <f>AVERAGEIF(_dat80[Quarter],_dat80[[#This Row],[Quarter]],_dat80[High Frequency])</f>
        <v>3.3009459236017259E-2</v>
      </c>
      <c r="S74" s="2">
        <f>_dat80[[#This Row],[S0]]-AVERAGE($R$2:$R$5)</f>
        <v>3.2954640972867329E-2</v>
      </c>
    </row>
    <row r="75" spans="1:19" x14ac:dyDescent="0.35">
      <c r="A75">
        <v>1968</v>
      </c>
      <c r="B75" s="1">
        <f>DATE(_dat80[[#This Row],[Year]],_dat80[[#This Row],[Quarter]]*3-1,15)</f>
        <v>24973</v>
      </c>
      <c r="C75" s="2">
        <f>_dat80[[#This Row],[Year]]+(_dat80[[#This Row],[Quarter]]-1)/4+1/8</f>
        <v>1968.375</v>
      </c>
      <c r="D75" s="2">
        <f>_dat80[[#This Row],[DecDate]]^2</f>
        <v>3874500.140625</v>
      </c>
      <c r="E75">
        <v>2</v>
      </c>
      <c r="F75">
        <v>907</v>
      </c>
      <c r="G75">
        <f>LN(_dat80[[#This Row],[Expenditure]])</f>
        <v>6.8101424501151362</v>
      </c>
      <c r="H75">
        <f>_dat80[[#This Row],[LOG(Expenditure 80)]]-G74</f>
        <v>-6.7153621382292528E-2</v>
      </c>
      <c r="I75">
        <f>(1+(_dat80[[#This Row],[Expenditure]]-F74)/F74)^12-1</f>
        <v>-0.55328901370876993</v>
      </c>
      <c r="J75" s="2">
        <f>$W$17+$W$18*_dat80[[#This Row],[DecDate]]</f>
        <v>933.22969769519295</v>
      </c>
      <c r="K75" s="2">
        <f>$W$40+$W$41*_dat80[[#This Row],[DecDate]]+_dat80[[#This Row],[DecDate^2]]*$W$42</f>
        <v>929.58991756635078</v>
      </c>
      <c r="L75" s="2">
        <f>$AG$17+_dat80[[#This Row],[DecDate]]*$AG$18</f>
        <v>6.8350298399700611</v>
      </c>
      <c r="M75" s="2">
        <f>$AG$40+$AG$41*_dat80[[#This Row],[DecDate]]+_dat80[[#This Row],[DecDate^2]]*$AG$42</f>
        <v>6.8349375884354426</v>
      </c>
      <c r="N75" s="2">
        <f>_dat80[[#This Row],[LOG(Expenditure 80)]]-_dat80[[#This Row],[Linear Trend LOG]]</f>
        <v>-2.4887389854924891E-2</v>
      </c>
      <c r="O75" s="2">
        <f t="shared" si="1"/>
        <v>-7.41442819978122E-3</v>
      </c>
      <c r="P75" s="2">
        <f>_dat80[[#This Row],[Cycle 80]]+_dat80[[#This Row],[Linear Trend LOG]]</f>
        <v>6.8276154117702799</v>
      </c>
      <c r="Q75" s="2">
        <f>_dat80[[#This Row],[Detrend(Linear)]]-_dat80[[#This Row],[Cycle 80]]</f>
        <v>-1.7472961655143671E-2</v>
      </c>
      <c r="R75" s="2">
        <f>AVERAGEIF(_dat80[Quarter],_dat80[[#This Row],[Quarter]],_dat80[High Frequency])</f>
        <v>-7.1142253495101353E-3</v>
      </c>
      <c r="S75" s="2">
        <f>_dat80[[#This Row],[S0]]-AVERAGE($R$2:$R$5)</f>
        <v>-7.1690436126600685E-3</v>
      </c>
    </row>
    <row r="76" spans="1:19" x14ac:dyDescent="0.35">
      <c r="A76">
        <v>1968</v>
      </c>
      <c r="B76" s="1">
        <f>DATE(_dat80[[#This Row],[Year]],_dat80[[#This Row],[Quarter]]*3-1,15)</f>
        <v>25065</v>
      </c>
      <c r="C76" s="2">
        <f>_dat80[[#This Row],[Year]]+(_dat80[[#This Row],[Quarter]]-1)/4+1/8</f>
        <v>1968.625</v>
      </c>
      <c r="D76" s="2">
        <f>_dat80[[#This Row],[DecDate]]^2</f>
        <v>3875484.390625</v>
      </c>
      <c r="E76">
        <v>3</v>
      </c>
      <c r="F76">
        <v>940</v>
      </c>
      <c r="G76">
        <f>LN(_dat80[[#This Row],[Expenditure]])</f>
        <v>6.8458798752640497</v>
      </c>
      <c r="H76">
        <f>_dat80[[#This Row],[LOG(Expenditure 80)]]-G75</f>
        <v>3.5737425148913537E-2</v>
      </c>
      <c r="I76">
        <f>(1+(_dat80[[#This Row],[Expenditure]]-F75)/F75)^12-1</f>
        <v>0.53548931432103486</v>
      </c>
      <c r="J76" s="2">
        <f>$W$17+$W$18*_dat80[[#This Row],[DecDate]]</f>
        <v>935.15391717985221</v>
      </c>
      <c r="K76" s="2">
        <f>$W$40+$W$41*_dat80[[#This Row],[DecDate]]+_dat80[[#This Row],[DecDate^2]]*$W$42</f>
        <v>931.27016953130078</v>
      </c>
      <c r="L76" s="2">
        <f>$AG$17+_dat80[[#This Row],[DecDate]]*$AG$18</f>
        <v>6.8368452141424365</v>
      </c>
      <c r="M76" s="2">
        <f>$AG$40+$AG$41*_dat80[[#This Row],[DecDate]]+_dat80[[#This Row],[DecDate^2]]*$AG$42</f>
        <v>6.8367467791634082</v>
      </c>
      <c r="N76" s="2">
        <f>_dat80[[#This Row],[LOG(Expenditure 80)]]-_dat80[[#This Row],[Linear Trend LOG]]</f>
        <v>9.0346611216132189E-3</v>
      </c>
      <c r="O76" s="2">
        <f t="shared" si="1"/>
        <v>7.2766148649586523E-3</v>
      </c>
      <c r="P76" s="2">
        <f>_dat80[[#This Row],[Cycle 80]]+_dat80[[#This Row],[Linear Trend LOG]]</f>
        <v>6.8441218290073955</v>
      </c>
      <c r="Q76" s="2">
        <f>_dat80[[#This Row],[Detrend(Linear)]]-_dat80[[#This Row],[Cycle 80]]</f>
        <v>1.7580462566545666E-3</v>
      </c>
      <c r="R76" s="2">
        <f>AVERAGEIF(_dat80[Quarter],_dat80[[#This Row],[Quarter]],_dat80[High Frequency])</f>
        <v>3.946848336706609E-3</v>
      </c>
      <c r="S76" s="2">
        <f>_dat80[[#This Row],[S0]]-AVERAGE($R$2:$R$5)</f>
        <v>3.8920300735566758E-3</v>
      </c>
    </row>
    <row r="77" spans="1:19" x14ac:dyDescent="0.35">
      <c r="A77">
        <v>1968</v>
      </c>
      <c r="B77" s="1">
        <f>DATE(_dat80[[#This Row],[Year]],_dat80[[#This Row],[Quarter]]*3-1,15)</f>
        <v>25157</v>
      </c>
      <c r="C77" s="2">
        <f>_dat80[[#This Row],[Year]]+(_dat80[[#This Row],[Quarter]]-1)/4+1/8</f>
        <v>1968.875</v>
      </c>
      <c r="D77" s="2">
        <f>_dat80[[#This Row],[DecDate]]^2</f>
        <v>3876468.765625</v>
      </c>
      <c r="E77">
        <v>4</v>
      </c>
      <c r="F77">
        <v>905</v>
      </c>
      <c r="G77">
        <f>LN(_dat80[[#This Row],[Expenditure]])</f>
        <v>6.8079349436999257</v>
      </c>
      <c r="H77">
        <f>_dat80[[#This Row],[LOG(Expenditure 80)]]-G76</f>
        <v>-3.794493156412404E-2</v>
      </c>
      <c r="I77">
        <f>(1+(_dat80[[#This Row],[Expenditure]]-F76)/F76)^12-1</f>
        <v>-0.3657671868428094</v>
      </c>
      <c r="J77" s="2">
        <f>$W$17+$W$18*_dat80[[#This Row],[DecDate]]</f>
        <v>937.07813666451148</v>
      </c>
      <c r="K77" s="2">
        <f>$W$40+$W$41*_dat80[[#This Row],[DecDate]]+_dat80[[#This Row],[DecDate^2]]*$W$42</f>
        <v>932.95400925388094</v>
      </c>
      <c r="L77" s="2">
        <f>$AG$17+_dat80[[#This Row],[DecDate]]*$AG$18</f>
        <v>6.8386605883148137</v>
      </c>
      <c r="M77" s="2">
        <f>$AG$40+$AG$41*_dat80[[#This Row],[DecDate]]+_dat80[[#This Row],[DecDate^2]]*$AG$42</f>
        <v>6.8385560608243825</v>
      </c>
      <c r="N77" s="2">
        <f>_dat80[[#This Row],[LOG(Expenditure 80)]]-_dat80[[#This Row],[Linear Trend LOG]]</f>
        <v>-3.0725644614888026E-2</v>
      </c>
      <c r="O77" s="2">
        <f t="shared" si="1"/>
        <v>-2.1026859611353644E-3</v>
      </c>
      <c r="P77" s="2">
        <f>_dat80[[#This Row],[Cycle 80]]+_dat80[[#This Row],[Linear Trend LOG]]</f>
        <v>6.836557902353678</v>
      </c>
      <c r="Q77" s="2">
        <f>_dat80[[#This Row],[Detrend(Linear)]]-_dat80[[#This Row],[Cycle 80]]</f>
        <v>-2.862295865375266E-2</v>
      </c>
      <c r="R77" s="2">
        <f>AVERAGEIF(_dat80[Quarter],_dat80[[#This Row],[Quarter]],_dat80[High Frequency])</f>
        <v>-2.9622809170614002E-2</v>
      </c>
      <c r="S77" s="2">
        <f>_dat80[[#This Row],[S0]]-AVERAGE($R$2:$R$5)</f>
        <v>-2.9677627433763936E-2</v>
      </c>
    </row>
    <row r="78" spans="1:19" x14ac:dyDescent="0.35">
      <c r="A78">
        <v>1969</v>
      </c>
      <c r="B78" s="1">
        <f>DATE(_dat80[[#This Row],[Year]],_dat80[[#This Row],[Quarter]]*3-1,15)</f>
        <v>25249</v>
      </c>
      <c r="C78" s="2">
        <f>_dat80[[#This Row],[Year]]+(_dat80[[#This Row],[Quarter]]-1)/4+1/8</f>
        <v>1969.125</v>
      </c>
      <c r="D78" s="2">
        <f>_dat80[[#This Row],[DecDate]]^2</f>
        <v>3877453.265625</v>
      </c>
      <c r="E78">
        <v>1</v>
      </c>
      <c r="F78">
        <v>972</v>
      </c>
      <c r="G78">
        <f>LN(_dat80[[#This Row],[Expenditure]])</f>
        <v>6.879355804460439</v>
      </c>
      <c r="H78">
        <f>_dat80[[#This Row],[LOG(Expenditure 80)]]-G77</f>
        <v>7.1420860760513349E-2</v>
      </c>
      <c r="I78">
        <f>(1+(_dat80[[#This Row],[Expenditure]]-F77)/F77)^12-1</f>
        <v>1.3562004177455158</v>
      </c>
      <c r="J78" s="2">
        <f>$W$17+$W$18*_dat80[[#This Row],[DecDate]]</f>
        <v>939.00235614917074</v>
      </c>
      <c r="K78" s="2">
        <f>$W$40+$W$41*_dat80[[#This Row],[DecDate]]+_dat80[[#This Row],[DecDate^2]]*$W$42</f>
        <v>934.64143673407671</v>
      </c>
      <c r="L78" s="2">
        <f>$AG$17+_dat80[[#This Row],[DecDate]]*$AG$18</f>
        <v>6.8404759624871909</v>
      </c>
      <c r="M78" s="2">
        <f>$AG$40+$AG$41*_dat80[[#This Row],[DecDate]]+_dat80[[#This Row],[DecDate^2]]*$AG$42</f>
        <v>6.8403654334183592</v>
      </c>
      <c r="N78" s="2">
        <f>_dat80[[#This Row],[LOG(Expenditure 80)]]-_dat80[[#This Row],[Linear Trend LOG]]</f>
        <v>3.8879841973248119E-2</v>
      </c>
      <c r="O78" s="2">
        <f t="shared" si="1"/>
        <v>7.6483316375194118E-3</v>
      </c>
      <c r="P78" s="2">
        <f>_dat80[[#This Row],[Cycle 80]]+_dat80[[#This Row],[Linear Trend LOG]]</f>
        <v>6.8481242941247107</v>
      </c>
      <c r="Q78" s="2">
        <f>_dat80[[#This Row],[Detrend(Linear)]]-_dat80[[#This Row],[Cycle 80]]</f>
        <v>3.1231510335728706E-2</v>
      </c>
      <c r="R78" s="2">
        <f>AVERAGEIF(_dat80[Quarter],_dat80[[#This Row],[Quarter]],_dat80[High Frequency])</f>
        <v>3.3009459236017259E-2</v>
      </c>
      <c r="S78" s="2">
        <f>_dat80[[#This Row],[S0]]-AVERAGE($R$2:$R$5)</f>
        <v>3.2954640972867329E-2</v>
      </c>
    </row>
    <row r="79" spans="1:19" x14ac:dyDescent="0.35">
      <c r="A79">
        <v>1969</v>
      </c>
      <c r="B79" s="1">
        <f>DATE(_dat80[[#This Row],[Year]],_dat80[[#This Row],[Quarter]]*3-1,15)</f>
        <v>25338</v>
      </c>
      <c r="C79" s="2">
        <f>_dat80[[#This Row],[Year]]+(_dat80[[#This Row],[Quarter]]-1)/4+1/8</f>
        <v>1969.375</v>
      </c>
      <c r="D79" s="2">
        <f>_dat80[[#This Row],[DecDate]]^2</f>
        <v>3878437.890625</v>
      </c>
      <c r="E79">
        <v>2</v>
      </c>
      <c r="F79">
        <v>934</v>
      </c>
      <c r="G79">
        <f>LN(_dat80[[#This Row],[Expenditure]])</f>
        <v>6.8394764382288429</v>
      </c>
      <c r="H79">
        <f>_dat80[[#This Row],[LOG(Expenditure 80)]]-G78</f>
        <v>-3.9879366231596158E-2</v>
      </c>
      <c r="I79">
        <f>(1+(_dat80[[#This Row],[Expenditure]]-F78)/F78)^12-1</f>
        <v>-0.38032020546321221</v>
      </c>
      <c r="J79" s="2">
        <f>$W$17+$W$18*_dat80[[#This Row],[DecDate]]</f>
        <v>940.92657563383</v>
      </c>
      <c r="K79" s="2">
        <f>$W$40+$W$41*_dat80[[#This Row],[DecDate]]+_dat80[[#This Row],[DecDate^2]]*$W$42</f>
        <v>936.33245197194628</v>
      </c>
      <c r="L79" s="2">
        <f>$AG$17+_dat80[[#This Row],[DecDate]]*$AG$18</f>
        <v>6.8422913366595681</v>
      </c>
      <c r="M79" s="2">
        <f>$AG$40+$AG$41*_dat80[[#This Row],[DecDate]]+_dat80[[#This Row],[DecDate^2]]*$AG$42</f>
        <v>6.8421748969453429</v>
      </c>
      <c r="N79" s="2">
        <f>_dat80[[#This Row],[LOG(Expenditure 80)]]-_dat80[[#This Row],[Linear Trend LOG]]</f>
        <v>-2.8148984307252434E-3</v>
      </c>
      <c r="O79" s="2">
        <f t="shared" si="1"/>
        <v>2.2309670316253972E-4</v>
      </c>
      <c r="P79" s="2">
        <f>_dat80[[#This Row],[Cycle 80]]+_dat80[[#This Row],[Linear Trend LOG]]</f>
        <v>6.842514433362731</v>
      </c>
      <c r="Q79" s="2">
        <f>_dat80[[#This Row],[Detrend(Linear)]]-_dat80[[#This Row],[Cycle 80]]</f>
        <v>-3.0379951338877832E-3</v>
      </c>
      <c r="R79" s="2">
        <f>AVERAGEIF(_dat80[Quarter],_dat80[[#This Row],[Quarter]],_dat80[High Frequency])</f>
        <v>-7.1142253495101353E-3</v>
      </c>
      <c r="S79" s="2">
        <f>_dat80[[#This Row],[S0]]-AVERAGE($R$2:$R$5)</f>
        <v>-7.1690436126600685E-3</v>
      </c>
    </row>
    <row r="80" spans="1:19" x14ac:dyDescent="0.35">
      <c r="A80">
        <v>1969</v>
      </c>
      <c r="B80" s="1">
        <f>DATE(_dat80[[#This Row],[Year]],_dat80[[#This Row],[Quarter]]*3-1,15)</f>
        <v>25430</v>
      </c>
      <c r="C80" s="2">
        <f>_dat80[[#This Row],[Year]]+(_dat80[[#This Row],[Quarter]]-1)/4+1/8</f>
        <v>1969.625</v>
      </c>
      <c r="D80" s="2">
        <f>_dat80[[#This Row],[DecDate]]^2</f>
        <v>3879422.640625</v>
      </c>
      <c r="E80">
        <v>3</v>
      </c>
      <c r="F80">
        <v>961</v>
      </c>
      <c r="G80">
        <f>LN(_dat80[[#This Row],[Expenditure]])</f>
        <v>6.8679744089702925</v>
      </c>
      <c r="H80">
        <f>_dat80[[#This Row],[LOG(Expenditure 80)]]-G79</f>
        <v>2.8497970741449663E-2</v>
      </c>
      <c r="I80">
        <f>(1+(_dat80[[#This Row],[Expenditure]]-F79)/F79)^12-1</f>
        <v>0.40772601741603975</v>
      </c>
      <c r="J80" s="2">
        <f>$W$17+$W$18*_dat80[[#This Row],[DecDate]]</f>
        <v>942.85079511848926</v>
      </c>
      <c r="K80" s="2">
        <f>$W$40+$W$41*_dat80[[#This Row],[DecDate]]+_dat80[[#This Row],[DecDate^2]]*$W$42</f>
        <v>938.02705496746057</v>
      </c>
      <c r="L80" s="2">
        <f>$AG$17+_dat80[[#This Row],[DecDate]]*$AG$18</f>
        <v>6.8441067108319436</v>
      </c>
      <c r="M80" s="2">
        <f>$AG$40+$AG$41*_dat80[[#This Row],[DecDate]]+_dat80[[#This Row],[DecDate^2]]*$AG$42</f>
        <v>6.8439844514053352</v>
      </c>
      <c r="N80" s="2">
        <f>_dat80[[#This Row],[LOG(Expenditure 80)]]-_dat80[[#This Row],[Linear Trend LOG]]</f>
        <v>2.3867698138348992E-2</v>
      </c>
      <c r="O80" s="2">
        <f t="shared" si="1"/>
        <v>1.5349062025218352E-2</v>
      </c>
      <c r="P80" s="2">
        <f>_dat80[[#This Row],[Cycle 80]]+_dat80[[#This Row],[Linear Trend LOG]]</f>
        <v>6.8594557728571619</v>
      </c>
      <c r="Q80" s="2">
        <f>_dat80[[#This Row],[Detrend(Linear)]]-_dat80[[#This Row],[Cycle 80]]</f>
        <v>8.5186361131306398E-3</v>
      </c>
      <c r="R80" s="2">
        <f>AVERAGEIF(_dat80[Quarter],_dat80[[#This Row],[Quarter]],_dat80[High Frequency])</f>
        <v>3.946848336706609E-3</v>
      </c>
      <c r="S80" s="2">
        <f>_dat80[[#This Row],[S0]]-AVERAGE($R$2:$R$5)</f>
        <v>3.8920300735566758E-3</v>
      </c>
    </row>
    <row r="81" spans="1:19" x14ac:dyDescent="0.35">
      <c r="A81">
        <v>1969</v>
      </c>
      <c r="B81" s="1">
        <f>DATE(_dat80[[#This Row],[Year]],_dat80[[#This Row],[Quarter]]*3-1,15)</f>
        <v>25522</v>
      </c>
      <c r="C81" s="2">
        <f>_dat80[[#This Row],[Year]]+(_dat80[[#This Row],[Quarter]]-1)/4+1/8</f>
        <v>1969.875</v>
      </c>
      <c r="D81" s="2">
        <f>_dat80[[#This Row],[DecDate]]^2</f>
        <v>3880407.515625</v>
      </c>
      <c r="E81">
        <v>4</v>
      </c>
      <c r="F81">
        <v>914</v>
      </c>
      <c r="G81">
        <f>LN(_dat80[[#This Row],[Expenditure]])</f>
        <v>6.8178305714541496</v>
      </c>
      <c r="H81">
        <f>_dat80[[#This Row],[LOG(Expenditure 80)]]-G80</f>
        <v>-5.0143837516142931E-2</v>
      </c>
      <c r="I81">
        <f>(1+(_dat80[[#This Row],[Expenditure]]-F80)/F80)^12-1</f>
        <v>-0.45213482328359</v>
      </c>
      <c r="J81" s="2">
        <f>$W$17+$W$18*_dat80[[#This Row],[DecDate]]</f>
        <v>944.77501460314852</v>
      </c>
      <c r="K81" s="2">
        <f>$W$40+$W$41*_dat80[[#This Row],[DecDate]]+_dat80[[#This Row],[DecDate^2]]*$W$42</f>
        <v>939.72524572061957</v>
      </c>
      <c r="L81" s="2">
        <f>$AG$17+_dat80[[#This Row],[DecDate]]*$AG$18</f>
        <v>6.8459220850043208</v>
      </c>
      <c r="M81" s="2">
        <f>$AG$40+$AG$41*_dat80[[#This Row],[DecDate]]+_dat80[[#This Row],[DecDate^2]]*$AG$42</f>
        <v>6.8457940967983308</v>
      </c>
      <c r="N81" s="2">
        <f>_dat80[[#This Row],[LOG(Expenditure 80)]]-_dat80[[#This Row],[Linear Trend LOG]]</f>
        <v>-2.8091513550171143E-2</v>
      </c>
      <c r="O81" s="2">
        <f t="shared" si="1"/>
        <v>4.9143824161674843E-3</v>
      </c>
      <c r="P81" s="2">
        <f>_dat80[[#This Row],[Cycle 80]]+_dat80[[#This Row],[Linear Trend LOG]]</f>
        <v>6.8508364674204882</v>
      </c>
      <c r="Q81" s="2">
        <f>_dat80[[#This Row],[Detrend(Linear)]]-_dat80[[#This Row],[Cycle 80]]</f>
        <v>-3.3005895966338628E-2</v>
      </c>
      <c r="R81" s="2">
        <f>AVERAGEIF(_dat80[Quarter],_dat80[[#This Row],[Quarter]],_dat80[High Frequency])</f>
        <v>-2.9622809170614002E-2</v>
      </c>
      <c r="S81" s="2">
        <f>_dat80[[#This Row],[S0]]-AVERAGE($R$2:$R$5)</f>
        <v>-2.9677627433763936E-2</v>
      </c>
    </row>
    <row r="82" spans="1:19" x14ac:dyDescent="0.35">
      <c r="A82">
        <v>1970</v>
      </c>
      <c r="B82" s="1">
        <f>DATE(_dat80[[#This Row],[Year]],_dat80[[#This Row],[Quarter]]*3-1,15)</f>
        <v>25614</v>
      </c>
      <c r="C82" s="2">
        <f>_dat80[[#This Row],[Year]]+(_dat80[[#This Row],[Quarter]]-1)/4+1/8</f>
        <v>1970.125</v>
      </c>
      <c r="D82" s="2">
        <f>_dat80[[#This Row],[DecDate]]^2</f>
        <v>3881392.515625</v>
      </c>
      <c r="E82">
        <v>1</v>
      </c>
      <c r="F82">
        <v>985</v>
      </c>
      <c r="G82">
        <f>LN(_dat80[[#This Row],[Expenditure]])</f>
        <v>6.892641641172089</v>
      </c>
      <c r="H82">
        <f>_dat80[[#This Row],[LOG(Expenditure 80)]]-G81</f>
        <v>7.4811069717939382E-2</v>
      </c>
      <c r="I82">
        <f>(1+(_dat80[[#This Row],[Expenditure]]-F81)/F81)^12-1</f>
        <v>1.4540331054846467</v>
      </c>
      <c r="J82" s="2">
        <f>$W$17+$W$18*_dat80[[#This Row],[DecDate]]</f>
        <v>946.6992340878096</v>
      </c>
      <c r="K82" s="2">
        <f>$W$40+$W$41*_dat80[[#This Row],[DecDate]]+_dat80[[#This Row],[DecDate^2]]*$W$42</f>
        <v>941.42702423139417</v>
      </c>
      <c r="L82" s="2">
        <f>$AG$17+_dat80[[#This Row],[DecDate]]*$AG$18</f>
        <v>6.847737459176698</v>
      </c>
      <c r="M82" s="2">
        <f>$AG$40+$AG$41*_dat80[[#This Row],[DecDate]]+_dat80[[#This Row],[DecDate^2]]*$AG$42</f>
        <v>6.8476038331243352</v>
      </c>
      <c r="N82" s="2">
        <f>_dat80[[#This Row],[LOG(Expenditure 80)]]-_dat80[[#This Row],[Linear Trend LOG]]</f>
        <v>4.4904181995391035E-2</v>
      </c>
      <c r="O82" s="2">
        <f t="shared" si="1"/>
        <v>7.3364548876797995E-3</v>
      </c>
      <c r="P82" s="2">
        <f>_dat80[[#This Row],[Cycle 80]]+_dat80[[#This Row],[Linear Trend LOG]]</f>
        <v>6.8550739140643779</v>
      </c>
      <c r="Q82" s="2">
        <f>_dat80[[#This Row],[Detrend(Linear)]]-_dat80[[#This Row],[Cycle 80]]</f>
        <v>3.7567727107711238E-2</v>
      </c>
      <c r="R82" s="2">
        <f>AVERAGEIF(_dat80[Quarter],_dat80[[#This Row],[Quarter]],_dat80[High Frequency])</f>
        <v>3.3009459236017259E-2</v>
      </c>
      <c r="S82" s="2">
        <f>_dat80[[#This Row],[S0]]-AVERAGE($R$2:$R$5)</f>
        <v>3.2954640972867329E-2</v>
      </c>
    </row>
    <row r="83" spans="1:19" x14ac:dyDescent="0.35">
      <c r="A83">
        <v>1970</v>
      </c>
      <c r="B83" s="1">
        <f>DATE(_dat80[[#This Row],[Year]],_dat80[[#This Row],[Quarter]]*3-1,15)</f>
        <v>25703</v>
      </c>
      <c r="C83" s="2">
        <f>_dat80[[#This Row],[Year]]+(_dat80[[#This Row],[Quarter]]-1)/4+1/8</f>
        <v>1970.375</v>
      </c>
      <c r="D83" s="2">
        <f>_dat80[[#This Row],[DecDate]]^2</f>
        <v>3882377.640625</v>
      </c>
      <c r="E83">
        <v>2</v>
      </c>
      <c r="F83">
        <v>931</v>
      </c>
      <c r="G83">
        <f>LN(_dat80[[#This Row],[Expenditure]])</f>
        <v>6.8362592772770672</v>
      </c>
      <c r="H83">
        <f>_dat80[[#This Row],[LOG(Expenditure 80)]]-G82</f>
        <v>-5.6382363895021825E-2</v>
      </c>
      <c r="I83">
        <f>(1+(_dat80[[#This Row],[Expenditure]]-F82)/F82)^12-1</f>
        <v>-0.49165166457882414</v>
      </c>
      <c r="J83" s="2">
        <f>$W$17+$W$18*_dat80[[#This Row],[DecDate]]</f>
        <v>948.62345357246886</v>
      </c>
      <c r="K83" s="2">
        <f>$W$40+$W$41*_dat80[[#This Row],[DecDate]]+_dat80[[#This Row],[DecDate^2]]*$W$42</f>
        <v>943.13239049982803</v>
      </c>
      <c r="L83" s="2">
        <f>$AG$17+_dat80[[#This Row],[DecDate]]*$AG$18</f>
        <v>6.8495528333490734</v>
      </c>
      <c r="M83" s="2">
        <f>$AG$40+$AG$41*_dat80[[#This Row],[DecDate]]+_dat80[[#This Row],[DecDate^2]]*$AG$42</f>
        <v>6.8494136603833429</v>
      </c>
      <c r="N83" s="2">
        <f>_dat80[[#This Row],[LOG(Expenditure 80)]]-_dat80[[#This Row],[Linear Trend LOG]]</f>
        <v>-1.3293556072006218E-2</v>
      </c>
      <c r="O83" s="2">
        <f t="shared" si="1"/>
        <v>-5.1652216267639162E-3</v>
      </c>
      <c r="P83" s="2">
        <f>_dat80[[#This Row],[Cycle 80]]+_dat80[[#This Row],[Linear Trend LOG]]</f>
        <v>6.8443876117223095</v>
      </c>
      <c r="Q83" s="2">
        <f>_dat80[[#This Row],[Detrend(Linear)]]-_dat80[[#This Row],[Cycle 80]]</f>
        <v>-8.1283344452423023E-3</v>
      </c>
      <c r="R83" s="2">
        <f>AVERAGEIF(_dat80[Quarter],_dat80[[#This Row],[Quarter]],_dat80[High Frequency])</f>
        <v>-7.1142253495101353E-3</v>
      </c>
      <c r="S83" s="2">
        <f>_dat80[[#This Row],[S0]]-AVERAGE($R$2:$R$5)</f>
        <v>-7.1690436126600685E-3</v>
      </c>
    </row>
    <row r="84" spans="1:19" x14ac:dyDescent="0.35">
      <c r="A84">
        <v>1970</v>
      </c>
      <c r="B84" s="1">
        <f>DATE(_dat80[[#This Row],[Year]],_dat80[[#This Row],[Quarter]]*3-1,15)</f>
        <v>25795</v>
      </c>
      <c r="C84" s="2">
        <f>_dat80[[#This Row],[Year]]+(_dat80[[#This Row],[Quarter]]-1)/4+1/8</f>
        <v>1970.625</v>
      </c>
      <c r="D84" s="2">
        <f>_dat80[[#This Row],[DecDate]]^2</f>
        <v>3883362.890625</v>
      </c>
      <c r="E84">
        <v>3</v>
      </c>
      <c r="F84">
        <v>954</v>
      </c>
      <c r="G84">
        <f>LN(_dat80[[#This Row],[Expenditure]])</f>
        <v>6.8606636714482869</v>
      </c>
      <c r="H84">
        <f>_dat80[[#This Row],[LOG(Expenditure 80)]]-G83</f>
        <v>2.4404394171219757E-2</v>
      </c>
      <c r="I84">
        <f>(1+(_dat80[[#This Row],[Expenditure]]-F83)/F83)^12-1</f>
        <v>0.34024539803050913</v>
      </c>
      <c r="J84" s="2">
        <f>$W$17+$W$18*_dat80[[#This Row],[DecDate]]</f>
        <v>950.54767305712812</v>
      </c>
      <c r="K84" s="2">
        <f>$W$40+$W$41*_dat80[[#This Row],[DecDate]]+_dat80[[#This Row],[DecDate^2]]*$W$42</f>
        <v>944.84134452590661</v>
      </c>
      <c r="L84" s="2">
        <f>$AG$17+_dat80[[#This Row],[DecDate]]*$AG$18</f>
        <v>6.8513682075214506</v>
      </c>
      <c r="M84" s="2">
        <f>$AG$40+$AG$41*_dat80[[#This Row],[DecDate]]+_dat80[[#This Row],[DecDate^2]]*$AG$42</f>
        <v>6.8512235785753566</v>
      </c>
      <c r="N84" s="2">
        <f>_dat80[[#This Row],[LOG(Expenditure 80)]]-_dat80[[#This Row],[Linear Trend LOG]]</f>
        <v>9.2954639268363337E-3</v>
      </c>
      <c r="O84" s="2">
        <f t="shared" si="1"/>
        <v>7.7784693204799634E-3</v>
      </c>
      <c r="P84" s="2">
        <f>_dat80[[#This Row],[Cycle 80]]+_dat80[[#This Row],[Linear Trend LOG]]</f>
        <v>6.8591466768419309</v>
      </c>
      <c r="Q84" s="2">
        <f>_dat80[[#This Row],[Detrend(Linear)]]-_dat80[[#This Row],[Cycle 80]]</f>
        <v>1.5169946063563703E-3</v>
      </c>
      <c r="R84" s="2">
        <f>AVERAGEIF(_dat80[Quarter],_dat80[[#This Row],[Quarter]],_dat80[High Frequency])</f>
        <v>3.946848336706609E-3</v>
      </c>
      <c r="S84" s="2">
        <f>_dat80[[#This Row],[S0]]-AVERAGE($R$2:$R$5)</f>
        <v>3.8920300735566758E-3</v>
      </c>
    </row>
    <row r="85" spans="1:19" x14ac:dyDescent="0.35">
      <c r="A85">
        <v>1970</v>
      </c>
      <c r="B85" s="1">
        <f>DATE(_dat80[[#This Row],[Year]],_dat80[[#This Row],[Quarter]]*3-1,15)</f>
        <v>25887</v>
      </c>
      <c r="C85" s="2">
        <f>_dat80[[#This Row],[Year]]+(_dat80[[#This Row],[Quarter]]-1)/4+1/8</f>
        <v>1970.875</v>
      </c>
      <c r="D85" s="2">
        <f>_dat80[[#This Row],[DecDate]]^2</f>
        <v>3884348.265625</v>
      </c>
      <c r="E85">
        <v>4</v>
      </c>
      <c r="F85">
        <v>911</v>
      </c>
      <c r="G85">
        <f>LN(_dat80[[#This Row],[Expenditure]])</f>
        <v>6.8145428972599582</v>
      </c>
      <c r="H85">
        <f>_dat80[[#This Row],[LOG(Expenditure 80)]]-G84</f>
        <v>-4.6120774188328717E-2</v>
      </c>
      <c r="I85">
        <f>(1+(_dat80[[#This Row],[Expenditure]]-F84)/F84)^12-1</f>
        <v>-0.42503682876371995</v>
      </c>
      <c r="J85" s="2">
        <f>$W$17+$W$18*_dat80[[#This Row],[DecDate]]</f>
        <v>952.47189254178738</v>
      </c>
      <c r="K85" s="2">
        <f>$W$40+$W$41*_dat80[[#This Row],[DecDate]]+_dat80[[#This Row],[DecDate^2]]*$W$42</f>
        <v>946.55388630964444</v>
      </c>
      <c r="L85" s="2">
        <f>$AG$17+_dat80[[#This Row],[DecDate]]*$AG$18</f>
        <v>6.8531835816938278</v>
      </c>
      <c r="M85" s="2">
        <f>$AG$40+$AG$41*_dat80[[#This Row],[DecDate]]+_dat80[[#This Row],[DecDate^2]]*$AG$42</f>
        <v>6.853033587700379</v>
      </c>
      <c r="N85" s="2">
        <f>_dat80[[#This Row],[LOG(Expenditure 80)]]-_dat80[[#This Row],[Linear Trend LOG]]</f>
        <v>-3.8640684433869588E-2</v>
      </c>
      <c r="O85" s="2">
        <f t="shared" si="1"/>
        <v>-4.0285766386299214E-3</v>
      </c>
      <c r="P85" s="2">
        <f>_dat80[[#This Row],[Cycle 80]]+_dat80[[#This Row],[Linear Trend LOG]]</f>
        <v>6.8491550050551977</v>
      </c>
      <c r="Q85" s="2">
        <f>_dat80[[#This Row],[Detrend(Linear)]]-_dat80[[#This Row],[Cycle 80]]</f>
        <v>-3.4612107795239669E-2</v>
      </c>
      <c r="R85" s="2">
        <f>AVERAGEIF(_dat80[Quarter],_dat80[[#This Row],[Quarter]],_dat80[High Frequency])</f>
        <v>-2.9622809170614002E-2</v>
      </c>
      <c r="S85" s="2">
        <f>_dat80[[#This Row],[S0]]-AVERAGE($R$2:$R$5)</f>
        <v>-2.9677627433763936E-2</v>
      </c>
    </row>
    <row r="86" spans="1:19" x14ac:dyDescent="0.35">
      <c r="A86">
        <v>1971</v>
      </c>
      <c r="B86" s="1">
        <f>DATE(_dat80[[#This Row],[Year]],_dat80[[#This Row],[Quarter]]*3-1,15)</f>
        <v>25979</v>
      </c>
      <c r="C86" s="2">
        <f>_dat80[[#This Row],[Year]]+(_dat80[[#This Row],[Quarter]]-1)/4+1/8</f>
        <v>1971.125</v>
      </c>
      <c r="D86" s="2">
        <f>_dat80[[#This Row],[DecDate]]^2</f>
        <v>3885333.765625</v>
      </c>
      <c r="E86">
        <v>1</v>
      </c>
      <c r="F86">
        <v>984</v>
      </c>
      <c r="G86">
        <f>LN(_dat80[[#This Row],[Expenditure]])</f>
        <v>6.8916258970522533</v>
      </c>
      <c r="H86">
        <f>_dat80[[#This Row],[LOG(Expenditure 80)]]-G85</f>
        <v>7.7082999792295048E-2</v>
      </c>
      <c r="I86">
        <f>(1+(_dat80[[#This Row],[Expenditure]]-F85)/F85)^12-1</f>
        <v>1.5218581666196505</v>
      </c>
      <c r="J86" s="2">
        <f>$W$17+$W$18*_dat80[[#This Row],[DecDate]]</f>
        <v>954.39611202644664</v>
      </c>
      <c r="K86" s="2">
        <f>$W$40+$W$41*_dat80[[#This Row],[DecDate]]+_dat80[[#This Row],[DecDate^2]]*$W$42</f>
        <v>948.27001585101243</v>
      </c>
      <c r="L86" s="2">
        <f>$AG$17+_dat80[[#This Row],[DecDate]]*$AG$18</f>
        <v>6.854998955866205</v>
      </c>
      <c r="M86" s="2">
        <f>$AG$40+$AG$41*_dat80[[#This Row],[DecDate]]+_dat80[[#This Row],[DecDate^2]]*$AG$42</f>
        <v>6.8548436877584047</v>
      </c>
      <c r="N86" s="2">
        <f>_dat80[[#This Row],[LOG(Expenditure 80)]]-_dat80[[#This Row],[Linear Trend LOG]]</f>
        <v>3.6626941186048256E-2</v>
      </c>
      <c r="O86" s="2">
        <f t="shared" si="1"/>
        <v>4.9907552763830412E-4</v>
      </c>
      <c r="P86" s="2">
        <f>_dat80[[#This Row],[Cycle 80]]+_dat80[[#This Row],[Linear Trend LOG]]</f>
        <v>6.855498031393843</v>
      </c>
      <c r="Q86" s="2">
        <f>_dat80[[#This Row],[Detrend(Linear)]]-_dat80[[#This Row],[Cycle 80]]</f>
        <v>3.6127865658409954E-2</v>
      </c>
      <c r="R86" s="2">
        <f>AVERAGEIF(_dat80[Quarter],_dat80[[#This Row],[Quarter]],_dat80[High Frequency])</f>
        <v>3.3009459236017259E-2</v>
      </c>
      <c r="S86" s="2">
        <f>_dat80[[#This Row],[S0]]-AVERAGE($R$2:$R$5)</f>
        <v>3.2954640972867329E-2</v>
      </c>
    </row>
    <row r="87" spans="1:19" x14ac:dyDescent="0.35">
      <c r="A87">
        <v>1971</v>
      </c>
      <c r="B87" s="1">
        <f>DATE(_dat80[[#This Row],[Year]],_dat80[[#This Row],[Quarter]]*3-1,15)</f>
        <v>26068</v>
      </c>
      <c r="C87" s="2">
        <f>_dat80[[#This Row],[Year]]+(_dat80[[#This Row],[Quarter]]-1)/4+1/8</f>
        <v>1971.375</v>
      </c>
      <c r="D87" s="2">
        <f>_dat80[[#This Row],[DecDate]]^2</f>
        <v>3886319.390625</v>
      </c>
      <c r="E87">
        <v>2</v>
      </c>
      <c r="F87">
        <v>937</v>
      </c>
      <c r="G87">
        <f>LN(_dat80[[#This Row],[Expenditure]])</f>
        <v>6.842683282238422</v>
      </c>
      <c r="H87">
        <f>_dat80[[#This Row],[LOG(Expenditure 80)]]-G86</f>
        <v>-4.894261481383122E-2</v>
      </c>
      <c r="I87">
        <f>(1+(_dat80[[#This Row],[Expenditure]]-F86)/F86)^12-1</f>
        <v>-0.44418033327612672</v>
      </c>
      <c r="J87" s="2">
        <f>$W$17+$W$18*_dat80[[#This Row],[DecDate]]</f>
        <v>956.32033151110591</v>
      </c>
      <c r="K87" s="2">
        <f>$W$40+$W$41*_dat80[[#This Row],[DecDate]]+_dat80[[#This Row],[DecDate^2]]*$W$42</f>
        <v>949.98973314999603</v>
      </c>
      <c r="L87" s="2">
        <f>$AG$17+_dat80[[#This Row],[DecDate]]*$AG$18</f>
        <v>6.8568143300385804</v>
      </c>
      <c r="M87" s="2">
        <f>$AG$40+$AG$41*_dat80[[#This Row],[DecDate]]+_dat80[[#This Row],[DecDate^2]]*$AG$42</f>
        <v>6.8566538787494391</v>
      </c>
      <c r="N87" s="2">
        <f>_dat80[[#This Row],[LOG(Expenditure 80)]]-_dat80[[#This Row],[Linear Trend LOG]]</f>
        <v>-1.4131047800158392E-2</v>
      </c>
      <c r="O87" s="2">
        <f t="shared" si="1"/>
        <v>-7.4902854319109482E-3</v>
      </c>
      <c r="P87" s="2">
        <f>_dat80[[#This Row],[Cycle 80]]+_dat80[[#This Row],[Linear Trend LOG]]</f>
        <v>6.8493240446066697</v>
      </c>
      <c r="Q87" s="2">
        <f>_dat80[[#This Row],[Detrend(Linear)]]-_dat80[[#This Row],[Cycle 80]]</f>
        <v>-6.6407623682474435E-3</v>
      </c>
      <c r="R87" s="2">
        <f>AVERAGEIF(_dat80[Quarter],_dat80[[#This Row],[Quarter]],_dat80[High Frequency])</f>
        <v>-7.1142253495101353E-3</v>
      </c>
      <c r="S87" s="2">
        <f>_dat80[[#This Row],[S0]]-AVERAGE($R$2:$R$5)</f>
        <v>-7.1690436126600685E-3</v>
      </c>
    </row>
    <row r="88" spans="1:19" x14ac:dyDescent="0.35">
      <c r="A88">
        <v>1971</v>
      </c>
      <c r="B88" s="1">
        <f>DATE(_dat80[[#This Row],[Year]],_dat80[[#This Row],[Quarter]]*3-1,15)</f>
        <v>26160</v>
      </c>
      <c r="C88" s="2">
        <f>_dat80[[#This Row],[Year]]+(_dat80[[#This Row],[Quarter]]-1)/4+1/8</f>
        <v>1971.625</v>
      </c>
      <c r="D88" s="2">
        <f>_dat80[[#This Row],[DecDate]]^2</f>
        <v>3887305.140625</v>
      </c>
      <c r="E88">
        <v>3</v>
      </c>
      <c r="F88">
        <v>961</v>
      </c>
      <c r="G88">
        <f>LN(_dat80[[#This Row],[Expenditure]])</f>
        <v>6.8679744089702925</v>
      </c>
      <c r="H88">
        <f>_dat80[[#This Row],[LOG(Expenditure 80)]]-G87</f>
        <v>2.5291126731870506E-2</v>
      </c>
      <c r="I88">
        <f>(1+(_dat80[[#This Row],[Expenditure]]-F87)/F87)^12-1</f>
        <v>0.35458281427684146</v>
      </c>
      <c r="J88" s="2">
        <f>$W$17+$W$18*_dat80[[#This Row],[DecDate]]</f>
        <v>958.24455099576517</v>
      </c>
      <c r="K88" s="2">
        <f>$W$40+$W$41*_dat80[[#This Row],[DecDate]]+_dat80[[#This Row],[DecDate^2]]*$W$42</f>
        <v>951.71303820665344</v>
      </c>
      <c r="L88" s="2">
        <f>$AG$17+_dat80[[#This Row],[DecDate]]*$AG$18</f>
        <v>6.8586297042109576</v>
      </c>
      <c r="M88" s="2">
        <f>$AG$40+$AG$41*_dat80[[#This Row],[DecDate]]+_dat80[[#This Row],[DecDate^2]]*$AG$42</f>
        <v>6.858464160673476</v>
      </c>
      <c r="N88" s="2">
        <f>_dat80[[#This Row],[LOG(Expenditure 80)]]-_dat80[[#This Row],[Linear Trend LOG]]</f>
        <v>9.3447047593349097E-3</v>
      </c>
      <c r="O88" s="2">
        <f t="shared" si="1"/>
        <v>8.3343083754394698E-3</v>
      </c>
      <c r="P88" s="2">
        <f>_dat80[[#This Row],[Cycle 80]]+_dat80[[#This Row],[Linear Trend LOG]]</f>
        <v>6.8669640125863971</v>
      </c>
      <c r="Q88" s="2">
        <f>_dat80[[#This Row],[Detrend(Linear)]]-_dat80[[#This Row],[Cycle 80]]</f>
        <v>1.01039638389544E-3</v>
      </c>
      <c r="R88" s="2">
        <f>AVERAGEIF(_dat80[Quarter],_dat80[[#This Row],[Quarter]],_dat80[High Frequency])</f>
        <v>3.946848336706609E-3</v>
      </c>
      <c r="S88" s="2">
        <f>_dat80[[#This Row],[S0]]-AVERAGE($R$2:$R$5)</f>
        <v>3.8920300735566758E-3</v>
      </c>
    </row>
    <row r="89" spans="1:19" x14ac:dyDescent="0.35">
      <c r="A89">
        <v>1971</v>
      </c>
      <c r="B89" s="1">
        <f>DATE(_dat80[[#This Row],[Year]],_dat80[[#This Row],[Quarter]]*3-1,15)</f>
        <v>26252</v>
      </c>
      <c r="C89" s="2">
        <f>_dat80[[#This Row],[Year]]+(_dat80[[#This Row],[Quarter]]-1)/4+1/8</f>
        <v>1971.875</v>
      </c>
      <c r="D89" s="2">
        <f>_dat80[[#This Row],[DecDate]]^2</f>
        <v>3888291.015625</v>
      </c>
      <c r="E89">
        <v>4</v>
      </c>
      <c r="F89">
        <v>925</v>
      </c>
      <c r="G89">
        <f>LN(_dat80[[#This Row],[Expenditure]])</f>
        <v>6.8297937375124249</v>
      </c>
      <c r="H89">
        <f>_dat80[[#This Row],[LOG(Expenditure 80)]]-G88</f>
        <v>-3.8180671457867632E-2</v>
      </c>
      <c r="I89">
        <f>(1+(_dat80[[#This Row],[Expenditure]]-F88)/F88)^12-1</f>
        <v>-0.36755881920446132</v>
      </c>
      <c r="J89" s="2">
        <f>$W$17+$W$18*_dat80[[#This Row],[DecDate]]</f>
        <v>960.16877048042443</v>
      </c>
      <c r="K89" s="2">
        <f>$W$40+$W$41*_dat80[[#This Row],[DecDate]]+_dat80[[#This Row],[DecDate^2]]*$W$42</f>
        <v>953.43993102095556</v>
      </c>
      <c r="L89" s="2">
        <f>$AG$17+_dat80[[#This Row],[DecDate]]*$AG$18</f>
        <v>6.8604450783833348</v>
      </c>
      <c r="M89" s="2">
        <f>$AG$40+$AG$41*_dat80[[#This Row],[DecDate]]+_dat80[[#This Row],[DecDate^2]]*$AG$42</f>
        <v>6.8602745335305206</v>
      </c>
      <c r="N89" s="2">
        <f>_dat80[[#This Row],[LOG(Expenditure 80)]]-_dat80[[#This Row],[Linear Trend LOG]]</f>
        <v>-3.0651340870909927E-2</v>
      </c>
      <c r="O89" s="2">
        <f t="shared" si="1"/>
        <v>-2.4176172903118244E-3</v>
      </c>
      <c r="P89" s="2">
        <f>_dat80[[#This Row],[Cycle 80]]+_dat80[[#This Row],[Linear Trend LOG]]</f>
        <v>6.8580274610930232</v>
      </c>
      <c r="Q89" s="2">
        <f>_dat80[[#This Row],[Detrend(Linear)]]-_dat80[[#This Row],[Cycle 80]]</f>
        <v>-2.8233723580598103E-2</v>
      </c>
      <c r="R89" s="2">
        <f>AVERAGEIF(_dat80[Quarter],_dat80[[#This Row],[Quarter]],_dat80[High Frequency])</f>
        <v>-2.9622809170614002E-2</v>
      </c>
      <c r="S89" s="2">
        <f>_dat80[[#This Row],[S0]]-AVERAGE($R$2:$R$5)</f>
        <v>-2.9677627433763936E-2</v>
      </c>
    </row>
    <row r="90" spans="1:19" x14ac:dyDescent="0.35">
      <c r="A90">
        <v>1972</v>
      </c>
      <c r="B90" s="1">
        <f>DATE(_dat80[[#This Row],[Year]],_dat80[[#This Row],[Quarter]]*3-1,15)</f>
        <v>26344</v>
      </c>
      <c r="C90" s="2">
        <f>_dat80[[#This Row],[Year]]+(_dat80[[#This Row],[Quarter]]-1)/4+1/8</f>
        <v>1972.125</v>
      </c>
      <c r="D90" s="2">
        <f>_dat80[[#This Row],[DecDate]]^2</f>
        <v>3889277.015625</v>
      </c>
      <c r="E90">
        <v>1</v>
      </c>
      <c r="F90">
        <v>995</v>
      </c>
      <c r="G90">
        <f>LN(_dat80[[#This Row],[Expenditure]])</f>
        <v>6.9027427371585928</v>
      </c>
      <c r="H90">
        <f>_dat80[[#This Row],[LOG(Expenditure 80)]]-G89</f>
        <v>7.2948999646167856E-2</v>
      </c>
      <c r="I90">
        <f>(1+(_dat80[[#This Row],[Expenditure]]-F89)/F89)^12-1</f>
        <v>1.3998062279831052</v>
      </c>
      <c r="J90" s="2">
        <f>$W$17+$W$18*_dat80[[#This Row],[DecDate]]</f>
        <v>962.09298996508551</v>
      </c>
      <c r="K90" s="2">
        <f>$W$40+$W$41*_dat80[[#This Row],[DecDate]]+_dat80[[#This Row],[DecDate^2]]*$W$42</f>
        <v>955.17041159290238</v>
      </c>
      <c r="L90" s="2">
        <f>$AG$17+_dat80[[#This Row],[DecDate]]*$AG$18</f>
        <v>6.8622604525557103</v>
      </c>
      <c r="M90" s="2">
        <f>$AG$40+$AG$41*_dat80[[#This Row],[DecDate]]+_dat80[[#This Row],[DecDate^2]]*$AG$42</f>
        <v>6.8620849973205722</v>
      </c>
      <c r="N90" s="2">
        <f>_dat80[[#This Row],[LOG(Expenditure 80)]]-_dat80[[#This Row],[Linear Trend LOG]]</f>
        <v>4.0482284602882501E-2</v>
      </c>
      <c r="O90" s="2">
        <f t="shared" si="1"/>
        <v>3.9228693722453299E-3</v>
      </c>
      <c r="P90" s="2">
        <f>_dat80[[#This Row],[Cycle 80]]+_dat80[[#This Row],[Linear Trend LOG]]</f>
        <v>6.8661833219279558</v>
      </c>
      <c r="Q90" s="2">
        <f>_dat80[[#This Row],[Detrend(Linear)]]-_dat80[[#This Row],[Cycle 80]]</f>
        <v>3.6559415230637174E-2</v>
      </c>
      <c r="R90" s="2">
        <f>AVERAGEIF(_dat80[Quarter],_dat80[[#This Row],[Quarter]],_dat80[High Frequency])</f>
        <v>3.3009459236017259E-2</v>
      </c>
      <c r="S90" s="2">
        <f>_dat80[[#This Row],[S0]]-AVERAGE($R$2:$R$5)</f>
        <v>3.2954640972867329E-2</v>
      </c>
    </row>
    <row r="91" spans="1:19" x14ac:dyDescent="0.35">
      <c r="A91">
        <v>1972</v>
      </c>
      <c r="B91" s="1">
        <f>DATE(_dat80[[#This Row],[Year]],_dat80[[#This Row],[Quarter]]*3-1,15)</f>
        <v>26434</v>
      </c>
      <c r="C91" s="2">
        <f>_dat80[[#This Row],[Year]]+(_dat80[[#This Row],[Quarter]]-1)/4+1/8</f>
        <v>1972.375</v>
      </c>
      <c r="D91" s="2">
        <f>_dat80[[#This Row],[DecDate]]^2</f>
        <v>3890263.140625</v>
      </c>
      <c r="E91">
        <v>2</v>
      </c>
      <c r="F91">
        <v>941</v>
      </c>
      <c r="G91">
        <f>LN(_dat80[[#This Row],[Expenditure]])</f>
        <v>6.8469431395853793</v>
      </c>
      <c r="H91">
        <f>_dat80[[#This Row],[LOG(Expenditure 80)]]-G90</f>
        <v>-5.5799597573213511E-2</v>
      </c>
      <c r="I91">
        <f>(1+(_dat80[[#This Row],[Expenditure]]-F90)/F90)^12-1</f>
        <v>-0.48808422574272481</v>
      </c>
      <c r="J91" s="2">
        <f>$W$17+$W$18*_dat80[[#This Row],[DecDate]]</f>
        <v>964.01720944974477</v>
      </c>
      <c r="K91" s="2">
        <f>$W$40+$W$41*_dat80[[#This Row],[DecDate]]+_dat80[[#This Row],[DecDate^2]]*$W$42</f>
        <v>956.90447992245026</v>
      </c>
      <c r="L91" s="2">
        <f>$AG$17+_dat80[[#This Row],[DecDate]]*$AG$18</f>
        <v>6.8640758267280875</v>
      </c>
      <c r="M91" s="2">
        <f>$AG$40+$AG$41*_dat80[[#This Row],[DecDate]]+_dat80[[#This Row],[DecDate^2]]*$AG$42</f>
        <v>6.8638955520436289</v>
      </c>
      <c r="N91" s="2">
        <f>_dat80[[#This Row],[LOG(Expenditure 80)]]-_dat80[[#This Row],[Linear Trend LOG]]</f>
        <v>-1.7132687142708214E-2</v>
      </c>
      <c r="O91" s="2">
        <f t="shared" si="1"/>
        <v>-4.6656388314220369E-3</v>
      </c>
      <c r="P91" s="2">
        <f>_dat80[[#This Row],[Cycle 80]]+_dat80[[#This Row],[Linear Trend LOG]]</f>
        <v>6.8594101878966658</v>
      </c>
      <c r="Q91" s="2">
        <f>_dat80[[#This Row],[Detrend(Linear)]]-_dat80[[#This Row],[Cycle 80]]</f>
        <v>-1.2467048311286177E-2</v>
      </c>
      <c r="R91" s="2">
        <f>AVERAGEIF(_dat80[Quarter],_dat80[[#This Row],[Quarter]],_dat80[High Frequency])</f>
        <v>-7.1142253495101353E-3</v>
      </c>
      <c r="S91" s="2">
        <f>_dat80[[#This Row],[S0]]-AVERAGE($R$2:$R$5)</f>
        <v>-7.1690436126600685E-3</v>
      </c>
    </row>
    <row r="92" spans="1:19" x14ac:dyDescent="0.35">
      <c r="A92">
        <v>1972</v>
      </c>
      <c r="B92" s="1">
        <f>DATE(_dat80[[#This Row],[Year]],_dat80[[#This Row],[Quarter]]*3-1,15)</f>
        <v>26526</v>
      </c>
      <c r="C92" s="2">
        <f>_dat80[[#This Row],[Year]]+(_dat80[[#This Row],[Quarter]]-1)/4+1/8</f>
        <v>1972.625</v>
      </c>
      <c r="D92" s="2">
        <f>_dat80[[#This Row],[DecDate]]^2</f>
        <v>3891249.390625</v>
      </c>
      <c r="E92">
        <v>3</v>
      </c>
      <c r="F92">
        <v>976</v>
      </c>
      <c r="G92">
        <f>LN(_dat80[[#This Row],[Expenditure]])</f>
        <v>6.8834625864130921</v>
      </c>
      <c r="H92">
        <f>_dat80[[#This Row],[LOG(Expenditure 80)]]-G91</f>
        <v>3.6519446827712798E-2</v>
      </c>
      <c r="I92">
        <f>(1+(_dat80[[#This Row],[Expenditure]]-F91)/F91)^12-1</f>
        <v>0.54996656841271441</v>
      </c>
      <c r="J92" s="2">
        <f>$W$17+$W$18*_dat80[[#This Row],[DecDate]]</f>
        <v>965.94142893440403</v>
      </c>
      <c r="K92" s="2">
        <f>$W$40+$W$41*_dat80[[#This Row],[DecDate]]+_dat80[[#This Row],[DecDate^2]]*$W$42</f>
        <v>958.64213600968651</v>
      </c>
      <c r="L92" s="2">
        <f>$AG$17+_dat80[[#This Row],[DecDate]]*$AG$18</f>
        <v>6.8658912009004647</v>
      </c>
      <c r="M92" s="2">
        <f>$AG$40+$AG$41*_dat80[[#This Row],[DecDate]]+_dat80[[#This Row],[DecDate^2]]*$AG$42</f>
        <v>6.8657061976996925</v>
      </c>
      <c r="N92" s="2">
        <f>_dat80[[#This Row],[LOG(Expenditure 80)]]-_dat80[[#This Row],[Linear Trend LOG]]</f>
        <v>1.757138551262738E-2</v>
      </c>
      <c r="O92" s="2">
        <f t="shared" si="1"/>
        <v>8.7108947560093249E-3</v>
      </c>
      <c r="P92" s="2">
        <f>_dat80[[#This Row],[Cycle 80]]+_dat80[[#This Row],[Linear Trend LOG]]</f>
        <v>6.8746020956564742</v>
      </c>
      <c r="Q92" s="2">
        <f>_dat80[[#This Row],[Detrend(Linear)]]-_dat80[[#This Row],[Cycle 80]]</f>
        <v>8.860490756618055E-3</v>
      </c>
      <c r="R92" s="2">
        <f>AVERAGEIF(_dat80[Quarter],_dat80[[#This Row],[Quarter]],_dat80[High Frequency])</f>
        <v>3.946848336706609E-3</v>
      </c>
      <c r="S92" s="2">
        <f>_dat80[[#This Row],[S0]]-AVERAGE($R$2:$R$5)</f>
        <v>3.8920300735566758E-3</v>
      </c>
    </row>
    <row r="93" spans="1:19" x14ac:dyDescent="0.35">
      <c r="A93">
        <v>1972</v>
      </c>
      <c r="B93" s="1">
        <f>DATE(_dat80[[#This Row],[Year]],_dat80[[#This Row],[Quarter]]*3-1,15)</f>
        <v>26618</v>
      </c>
      <c r="C93" s="2">
        <f>_dat80[[#This Row],[Year]]+(_dat80[[#This Row],[Quarter]]-1)/4+1/8</f>
        <v>1972.875</v>
      </c>
      <c r="D93" s="2">
        <f>_dat80[[#This Row],[DecDate]]^2</f>
        <v>3892235.765625</v>
      </c>
      <c r="E93">
        <v>4</v>
      </c>
      <c r="F93">
        <v>929</v>
      </c>
      <c r="G93">
        <f>LN(_dat80[[#This Row],[Expenditure]])</f>
        <v>6.8341087388138382</v>
      </c>
      <c r="H93">
        <f>_dat80[[#This Row],[LOG(Expenditure 80)]]-G92</f>
        <v>-4.9353847599253875E-2</v>
      </c>
      <c r="I93">
        <f>(1+(_dat80[[#This Row],[Expenditure]]-F92)/F92)^12-1</f>
        <v>-0.44691643191970687</v>
      </c>
      <c r="J93" s="2">
        <f>$W$17+$W$18*_dat80[[#This Row],[DecDate]]</f>
        <v>967.86564841906329</v>
      </c>
      <c r="K93" s="2">
        <f>$W$40+$W$41*_dat80[[#This Row],[DecDate]]+_dat80[[#This Row],[DecDate^2]]*$W$42</f>
        <v>960.38337985455291</v>
      </c>
      <c r="L93" s="2">
        <f>$AG$17+_dat80[[#This Row],[DecDate]]*$AG$18</f>
        <v>6.8677065750728401</v>
      </c>
      <c r="M93" s="2">
        <f>$AG$40+$AG$41*_dat80[[#This Row],[DecDate]]+_dat80[[#This Row],[DecDate^2]]*$AG$42</f>
        <v>6.8675169342887612</v>
      </c>
      <c r="N93" s="2">
        <f>_dat80[[#This Row],[LOG(Expenditure 80)]]-_dat80[[#This Row],[Linear Trend LOG]]</f>
        <v>-3.3597836259001923E-2</v>
      </c>
      <c r="O93" s="2">
        <f t="shared" si="1"/>
        <v>-8.9234855749520392E-4</v>
      </c>
      <c r="P93" s="2">
        <f>_dat80[[#This Row],[Cycle 80]]+_dat80[[#This Row],[Linear Trend LOG]]</f>
        <v>6.8668142265153449</v>
      </c>
      <c r="Q93" s="2">
        <f>_dat80[[#This Row],[Detrend(Linear)]]-_dat80[[#This Row],[Cycle 80]]</f>
        <v>-3.2705487701506719E-2</v>
      </c>
      <c r="R93" s="2">
        <f>AVERAGEIF(_dat80[Quarter],_dat80[[#This Row],[Quarter]],_dat80[High Frequency])</f>
        <v>-2.9622809170614002E-2</v>
      </c>
      <c r="S93" s="2">
        <f>_dat80[[#This Row],[S0]]-AVERAGE($R$2:$R$5)</f>
        <v>-2.9677627433763936E-2</v>
      </c>
    </row>
    <row r="94" spans="1:19" x14ac:dyDescent="0.35">
      <c r="A94">
        <v>1973</v>
      </c>
      <c r="B94" s="1">
        <f>DATE(_dat80[[#This Row],[Year]],_dat80[[#This Row],[Quarter]]*3-1,15)</f>
        <v>26710</v>
      </c>
      <c r="C94" s="2">
        <f>_dat80[[#This Row],[Year]]+(_dat80[[#This Row],[Quarter]]-1)/4+1/8</f>
        <v>1973.125</v>
      </c>
      <c r="D94" s="2">
        <f>_dat80[[#This Row],[DecDate]]^2</f>
        <v>3893222.265625</v>
      </c>
      <c r="E94">
        <v>1</v>
      </c>
      <c r="F94">
        <v>998</v>
      </c>
      <c r="G94">
        <f>LN(_dat80[[#This Row],[Expenditure]])</f>
        <v>6.9057532763114642</v>
      </c>
      <c r="H94">
        <f>_dat80[[#This Row],[LOG(Expenditure 80)]]-G93</f>
        <v>7.1644537497626004E-2</v>
      </c>
      <c r="I94">
        <f>(1+(_dat80[[#This Row],[Expenditure]]-F93)/F93)^12-1</f>
        <v>1.3625332396301539</v>
      </c>
      <c r="J94" s="2">
        <f>$W$17+$W$18*_dat80[[#This Row],[DecDate]]</f>
        <v>969.78986790372255</v>
      </c>
      <c r="K94" s="2">
        <f>$W$40+$W$41*_dat80[[#This Row],[DecDate]]+_dat80[[#This Row],[DecDate^2]]*$W$42</f>
        <v>962.12821145706403</v>
      </c>
      <c r="L94" s="2">
        <f>$AG$17+_dat80[[#This Row],[DecDate]]*$AG$18</f>
        <v>6.8695219492452173</v>
      </c>
      <c r="M94" s="2">
        <f>$AG$40+$AG$41*_dat80[[#This Row],[DecDate]]+_dat80[[#This Row],[DecDate^2]]*$AG$42</f>
        <v>6.869327761810835</v>
      </c>
      <c r="N94" s="2">
        <f>_dat80[[#This Row],[LOG(Expenditure 80)]]-_dat80[[#This Row],[Linear Trend LOG]]</f>
        <v>3.6231327066246877E-2</v>
      </c>
      <c r="O94" s="2">
        <f t="shared" si="1"/>
        <v>5.0055833600156415E-3</v>
      </c>
      <c r="P94" s="2">
        <f>_dat80[[#This Row],[Cycle 80]]+_dat80[[#This Row],[Linear Trend LOG]]</f>
        <v>6.8745275326052333</v>
      </c>
      <c r="Q94" s="2">
        <f>_dat80[[#This Row],[Detrend(Linear)]]-_dat80[[#This Row],[Cycle 80]]</f>
        <v>3.1225743706231233E-2</v>
      </c>
      <c r="R94" s="2">
        <f>AVERAGEIF(_dat80[Quarter],_dat80[[#This Row],[Quarter]],_dat80[High Frequency])</f>
        <v>3.3009459236017259E-2</v>
      </c>
      <c r="S94" s="2">
        <f>_dat80[[#This Row],[S0]]-AVERAGE($R$2:$R$5)</f>
        <v>3.2954640972867329E-2</v>
      </c>
    </row>
    <row r="95" spans="1:19" x14ac:dyDescent="0.35">
      <c r="A95">
        <v>1973</v>
      </c>
      <c r="B95" s="1">
        <f>DATE(_dat80[[#This Row],[Year]],_dat80[[#This Row],[Quarter]]*3-1,15)</f>
        <v>26799</v>
      </c>
      <c r="C95" s="2">
        <f>_dat80[[#This Row],[Year]]+(_dat80[[#This Row],[Quarter]]-1)/4+1/8</f>
        <v>1973.375</v>
      </c>
      <c r="D95" s="2">
        <f>_dat80[[#This Row],[DecDate]]^2</f>
        <v>3894208.890625</v>
      </c>
      <c r="E95">
        <v>2</v>
      </c>
      <c r="F95">
        <v>957</v>
      </c>
      <c r="G95">
        <f>LN(_dat80[[#This Row],[Expenditure]])</f>
        <v>6.8638033914529544</v>
      </c>
      <c r="H95">
        <f>_dat80[[#This Row],[LOG(Expenditure 80)]]-G94</f>
        <v>-4.1949884858509812E-2</v>
      </c>
      <c r="I95">
        <f>(1+(_dat80[[#This Row],[Expenditure]]-F94)/F94)^12-1</f>
        <v>-0.39552720755478066</v>
      </c>
      <c r="J95" s="2">
        <f>$W$17+$W$18*_dat80[[#This Row],[DecDate]]</f>
        <v>971.71408738838181</v>
      </c>
      <c r="K95" s="2">
        <f>$W$40+$W$41*_dat80[[#This Row],[DecDate]]+_dat80[[#This Row],[DecDate^2]]*$W$42</f>
        <v>963.8766308172344</v>
      </c>
      <c r="L95" s="2">
        <f>$AG$17+_dat80[[#This Row],[DecDate]]*$AG$18</f>
        <v>6.8713373234175945</v>
      </c>
      <c r="M95" s="2">
        <f>$AG$40+$AG$41*_dat80[[#This Row],[DecDate]]+_dat80[[#This Row],[DecDate^2]]*$AG$42</f>
        <v>6.8711386802659176</v>
      </c>
      <c r="N95" s="2">
        <f>_dat80[[#This Row],[LOG(Expenditure 80)]]-_dat80[[#This Row],[Linear Trend LOG]]</f>
        <v>-7.5339319646401393E-3</v>
      </c>
      <c r="O95" s="2">
        <f t="shared" si="1"/>
        <v>-7.3274611657433656E-3</v>
      </c>
      <c r="P95" s="2">
        <f>_dat80[[#This Row],[Cycle 80]]+_dat80[[#This Row],[Linear Trend LOG]]</f>
        <v>6.8640098622518515</v>
      </c>
      <c r="Q95" s="2">
        <f>_dat80[[#This Row],[Detrend(Linear)]]-_dat80[[#This Row],[Cycle 80]]</f>
        <v>-2.0647079889677365E-4</v>
      </c>
      <c r="R95" s="2">
        <f>AVERAGEIF(_dat80[Quarter],_dat80[[#This Row],[Quarter]],_dat80[High Frequency])</f>
        <v>-7.1142253495101353E-3</v>
      </c>
      <c r="S95" s="2">
        <f>_dat80[[#This Row],[S0]]-AVERAGE($R$2:$R$5)</f>
        <v>-7.1690436126600685E-3</v>
      </c>
    </row>
    <row r="96" spans="1:19" x14ac:dyDescent="0.35">
      <c r="A96">
        <v>1973</v>
      </c>
      <c r="B96" s="1">
        <f>DATE(_dat80[[#This Row],[Year]],_dat80[[#This Row],[Quarter]]*3-1,15)</f>
        <v>26891</v>
      </c>
      <c r="C96" s="2">
        <f>_dat80[[#This Row],[Year]]+(_dat80[[#This Row],[Quarter]]-1)/4+1/8</f>
        <v>1973.625</v>
      </c>
      <c r="D96" s="2">
        <f>_dat80[[#This Row],[DecDate]]^2</f>
        <v>3895195.640625</v>
      </c>
      <c r="E96">
        <v>3</v>
      </c>
      <c r="F96">
        <v>978</v>
      </c>
      <c r="G96">
        <f>LN(_dat80[[#This Row],[Expenditure]])</f>
        <v>6.8855096700348177</v>
      </c>
      <c r="H96">
        <f>_dat80[[#This Row],[LOG(Expenditure 80)]]-G95</f>
        <v>2.1706278581863359E-2</v>
      </c>
      <c r="I96">
        <f>(1+(_dat80[[#This Row],[Expenditure]]-F95)/F95)^12-1</f>
        <v>0.29754671982558833</v>
      </c>
      <c r="J96" s="2">
        <f>$W$17+$W$18*_dat80[[#This Row],[DecDate]]</f>
        <v>973.63830687304107</v>
      </c>
      <c r="K96" s="2">
        <f>$W$40+$W$41*_dat80[[#This Row],[DecDate]]+_dat80[[#This Row],[DecDate^2]]*$W$42</f>
        <v>965.62863793500583</v>
      </c>
      <c r="L96" s="2">
        <f>$AG$17+_dat80[[#This Row],[DecDate]]*$AG$18</f>
        <v>6.8731526975899717</v>
      </c>
      <c r="M96" s="2">
        <f>$AG$40+$AG$41*_dat80[[#This Row],[DecDate]]+_dat80[[#This Row],[DecDate^2]]*$AG$42</f>
        <v>6.8729496896540043</v>
      </c>
      <c r="N96" s="2">
        <f>_dat80[[#This Row],[LOG(Expenditure 80)]]-_dat80[[#This Row],[Linear Trend LOG]]</f>
        <v>1.2356972444846015E-2</v>
      </c>
      <c r="O96" s="2">
        <f t="shared" si="1"/>
        <v>6.7828870310490787E-3</v>
      </c>
      <c r="P96" s="2">
        <f>_dat80[[#This Row],[Cycle 80]]+_dat80[[#This Row],[Linear Trend LOG]]</f>
        <v>6.8799355846210206</v>
      </c>
      <c r="Q96" s="2">
        <f>_dat80[[#This Row],[Detrend(Linear)]]-_dat80[[#This Row],[Cycle 80]]</f>
        <v>5.5740854137969363E-3</v>
      </c>
      <c r="R96" s="2">
        <f>AVERAGEIF(_dat80[Quarter],_dat80[[#This Row],[Quarter]],_dat80[High Frequency])</f>
        <v>3.946848336706609E-3</v>
      </c>
      <c r="S96" s="2">
        <f>_dat80[[#This Row],[S0]]-AVERAGE($R$2:$R$5)</f>
        <v>3.8920300735566758E-3</v>
      </c>
    </row>
    <row r="97" spans="1:19" x14ac:dyDescent="0.35">
      <c r="A97">
        <v>1973</v>
      </c>
      <c r="B97" s="1">
        <f>DATE(_dat80[[#This Row],[Year]],_dat80[[#This Row],[Quarter]]*3-1,15)</f>
        <v>26983</v>
      </c>
      <c r="C97" s="2">
        <f>_dat80[[#This Row],[Year]]+(_dat80[[#This Row],[Quarter]]-1)/4+1/8</f>
        <v>1973.875</v>
      </c>
      <c r="D97" s="2">
        <f>_dat80[[#This Row],[DecDate]]^2</f>
        <v>3896182.515625</v>
      </c>
      <c r="E97">
        <v>4</v>
      </c>
      <c r="F97">
        <v>926</v>
      </c>
      <c r="G97">
        <f>LN(_dat80[[#This Row],[Expenditure]])</f>
        <v>6.8308742346461795</v>
      </c>
      <c r="H97">
        <f>_dat80[[#This Row],[LOG(Expenditure 80)]]-G96</f>
        <v>-5.4635435388638243E-2</v>
      </c>
      <c r="I97">
        <f>(1+(_dat80[[#This Row],[Expenditure]]-F96)/F96)^12-1</f>
        <v>-0.48088260389649817</v>
      </c>
      <c r="J97" s="2">
        <f>$W$17+$W$18*_dat80[[#This Row],[DecDate]]</f>
        <v>975.56252635770034</v>
      </c>
      <c r="K97" s="2">
        <f>$W$40+$W$41*_dat80[[#This Row],[DecDate]]+_dat80[[#This Row],[DecDate^2]]*$W$42</f>
        <v>967.38423281043652</v>
      </c>
      <c r="L97" s="2">
        <f>$AG$17+_dat80[[#This Row],[DecDate]]*$AG$18</f>
        <v>6.8749680717623471</v>
      </c>
      <c r="M97" s="2">
        <f>$AG$40+$AG$41*_dat80[[#This Row],[DecDate]]+_dat80[[#This Row],[DecDate^2]]*$AG$42</f>
        <v>6.8747607899750989</v>
      </c>
      <c r="N97" s="2">
        <f>_dat80[[#This Row],[LOG(Expenditure 80)]]-_dat80[[#This Row],[Linear Trend LOG]]</f>
        <v>-4.4093837116167656E-2</v>
      </c>
      <c r="O97" s="2">
        <f t="shared" si="1"/>
        <v>-3.8408743074745287E-3</v>
      </c>
      <c r="P97" s="2">
        <f>_dat80[[#This Row],[Cycle 80]]+_dat80[[#This Row],[Linear Trend LOG]]</f>
        <v>6.8711271974548724</v>
      </c>
      <c r="Q97" s="2">
        <f>_dat80[[#This Row],[Detrend(Linear)]]-_dat80[[#This Row],[Cycle 80]]</f>
        <v>-4.025296280869313E-2</v>
      </c>
      <c r="R97" s="2">
        <f>AVERAGEIF(_dat80[Quarter],_dat80[[#This Row],[Quarter]],_dat80[High Frequency])</f>
        <v>-2.9622809170614002E-2</v>
      </c>
      <c r="S97" s="2">
        <f>_dat80[[#This Row],[S0]]-AVERAGE($R$2:$R$5)</f>
        <v>-2.9677627433763936E-2</v>
      </c>
    </row>
    <row r="98" spans="1:19" x14ac:dyDescent="0.35">
      <c r="A98">
        <v>1974</v>
      </c>
      <c r="B98" s="1">
        <f>DATE(_dat80[[#This Row],[Year]],_dat80[[#This Row],[Quarter]]*3-1,15)</f>
        <v>27075</v>
      </c>
      <c r="C98" s="2">
        <f>_dat80[[#This Row],[Year]]+(_dat80[[#This Row],[Quarter]]-1)/4+1/8</f>
        <v>1974.125</v>
      </c>
      <c r="D98" s="2">
        <f>_dat80[[#This Row],[DecDate]]^2</f>
        <v>3897169.515625</v>
      </c>
      <c r="E98">
        <v>1</v>
      </c>
      <c r="F98">
        <v>1006</v>
      </c>
      <c r="G98">
        <f>LN(_dat80[[#This Row],[Expenditure]])</f>
        <v>6.9137373506596846</v>
      </c>
      <c r="H98">
        <f>_dat80[[#This Row],[LOG(Expenditure 80)]]-G97</f>
        <v>8.2863116013505156E-2</v>
      </c>
      <c r="I98">
        <f>(1+(_dat80[[#This Row],[Expenditure]]-F97)/F97)^12-1</f>
        <v>1.7029868225496529</v>
      </c>
      <c r="J98" s="2">
        <f>$W$17+$W$18*_dat80[[#This Row],[DecDate]]</f>
        <v>977.48674584236142</v>
      </c>
      <c r="K98" s="2">
        <f>$W$40+$W$41*_dat80[[#This Row],[DecDate]]+_dat80[[#This Row],[DecDate^2]]*$W$42</f>
        <v>969.14341544352646</v>
      </c>
      <c r="L98" s="2">
        <f>$AG$17+_dat80[[#This Row],[DecDate]]*$AG$18</f>
        <v>6.8767834459347243</v>
      </c>
      <c r="M98" s="2">
        <f>$AG$40+$AG$41*_dat80[[#This Row],[DecDate]]+_dat80[[#This Row],[DecDate^2]]*$AG$42</f>
        <v>6.8765719812291968</v>
      </c>
      <c r="N98" s="2">
        <f>_dat80[[#This Row],[LOG(Expenditure 80)]]-_dat80[[#This Row],[Linear Trend LOG]]</f>
        <v>3.6953904724960296E-2</v>
      </c>
      <c r="O98" s="2">
        <f t="shared" si="1"/>
        <v>7.1961277913175077E-4</v>
      </c>
      <c r="P98" s="2">
        <f>_dat80[[#This Row],[Cycle 80]]+_dat80[[#This Row],[Linear Trend LOG]]</f>
        <v>6.8775030587138559</v>
      </c>
      <c r="Q98" s="2">
        <f>_dat80[[#This Row],[Detrend(Linear)]]-_dat80[[#This Row],[Cycle 80]]</f>
        <v>3.6234291945828542E-2</v>
      </c>
      <c r="R98" s="2">
        <f>AVERAGEIF(_dat80[Quarter],_dat80[[#This Row],[Quarter]],_dat80[High Frequency])</f>
        <v>3.3009459236017259E-2</v>
      </c>
      <c r="S98" s="2">
        <f>_dat80[[#This Row],[S0]]-AVERAGE($R$2:$R$5)</f>
        <v>3.2954640972867329E-2</v>
      </c>
    </row>
    <row r="99" spans="1:19" x14ac:dyDescent="0.35">
      <c r="A99">
        <v>1974</v>
      </c>
      <c r="B99" s="1">
        <f>DATE(_dat80[[#This Row],[Year]],_dat80[[#This Row],[Quarter]]*3-1,15)</f>
        <v>27164</v>
      </c>
      <c r="C99" s="2">
        <f>_dat80[[#This Row],[Year]]+(_dat80[[#This Row],[Quarter]]-1)/4+1/8</f>
        <v>1974.375</v>
      </c>
      <c r="D99" s="2">
        <f>_dat80[[#This Row],[DecDate]]^2</f>
        <v>3898156.640625</v>
      </c>
      <c r="E99">
        <v>2</v>
      </c>
      <c r="F99">
        <v>955</v>
      </c>
      <c r="G99">
        <f>LN(_dat80[[#This Row],[Expenditure]])</f>
        <v>6.8617113404807304</v>
      </c>
      <c r="H99">
        <f>_dat80[[#This Row],[LOG(Expenditure 80)]]-G98</f>
        <v>-5.2026010178954252E-2</v>
      </c>
      <c r="I99">
        <f>(1+(_dat80[[#This Row],[Expenditure]]-F98)/F98)^12-1</f>
        <v>-0.46437025033355173</v>
      </c>
      <c r="J99" s="2">
        <f>$W$17+$W$18*_dat80[[#This Row],[DecDate]]</f>
        <v>979.41096532702068</v>
      </c>
      <c r="K99" s="2">
        <f>$W$40+$W$41*_dat80[[#This Row],[DecDate]]+_dat80[[#This Row],[DecDate^2]]*$W$42</f>
        <v>970.90618583426112</v>
      </c>
      <c r="L99" s="2">
        <f>$AG$17+_dat80[[#This Row],[DecDate]]*$AG$18</f>
        <v>6.8785988201071016</v>
      </c>
      <c r="M99" s="2">
        <f>$AG$40+$AG$41*_dat80[[#This Row],[DecDate]]+_dat80[[#This Row],[DecDate^2]]*$AG$42</f>
        <v>6.8783832634163016</v>
      </c>
      <c r="N99" s="2">
        <f>_dat80[[#This Row],[LOG(Expenditure 80)]]-_dat80[[#This Row],[Linear Trend LOG]]</f>
        <v>-1.688747962637116E-2</v>
      </c>
      <c r="O99" s="2">
        <f t="shared" si="1"/>
        <v>-1.0302407754439713E-2</v>
      </c>
      <c r="P99" s="2">
        <f>_dat80[[#This Row],[Cycle 80]]+_dat80[[#This Row],[Linear Trend LOG]]</f>
        <v>6.8682964123526622</v>
      </c>
      <c r="Q99" s="2">
        <f>_dat80[[#This Row],[Detrend(Linear)]]-_dat80[[#This Row],[Cycle 80]]</f>
        <v>-6.5850718719314468E-3</v>
      </c>
      <c r="R99" s="2">
        <f>AVERAGEIF(_dat80[Quarter],_dat80[[#This Row],[Quarter]],_dat80[High Frequency])</f>
        <v>-7.1142253495101353E-3</v>
      </c>
      <c r="S99" s="2">
        <f>_dat80[[#This Row],[S0]]-AVERAGE($R$2:$R$5)</f>
        <v>-7.1690436126600685E-3</v>
      </c>
    </row>
    <row r="100" spans="1:19" x14ac:dyDescent="0.35">
      <c r="A100">
        <v>1974</v>
      </c>
      <c r="B100" s="1">
        <f>DATE(_dat80[[#This Row],[Year]],_dat80[[#This Row],[Quarter]]*3-1,15)</f>
        <v>27256</v>
      </c>
      <c r="C100" s="2">
        <f>_dat80[[#This Row],[Year]]+(_dat80[[#This Row],[Quarter]]-1)/4+1/8</f>
        <v>1974.625</v>
      </c>
      <c r="D100" s="2">
        <f>_dat80[[#This Row],[DecDate]]^2</f>
        <v>3899143.890625</v>
      </c>
      <c r="E100">
        <v>3</v>
      </c>
      <c r="F100">
        <v>988</v>
      </c>
      <c r="G100">
        <f>LN(_dat80[[#This Row],[Expenditure]])</f>
        <v>6.8956826977478682</v>
      </c>
      <c r="H100">
        <f>_dat80[[#This Row],[LOG(Expenditure 80)]]-G99</f>
        <v>3.3971357267137847E-2</v>
      </c>
      <c r="I100">
        <f>(1+(_dat80[[#This Row],[Expenditure]]-F99)/F99)^12-1</f>
        <v>0.50329037222715622</v>
      </c>
      <c r="J100" s="2">
        <f>$W$17+$W$18*_dat80[[#This Row],[DecDate]]</f>
        <v>981.33518481167994</v>
      </c>
      <c r="K100" s="2">
        <f>$W$40+$W$41*_dat80[[#This Row],[DecDate]]+_dat80[[#This Row],[DecDate^2]]*$W$42</f>
        <v>972.67254398261139</v>
      </c>
      <c r="L100" s="2">
        <f>$AG$17+_dat80[[#This Row],[DecDate]]*$AG$18</f>
        <v>6.880414194279477</v>
      </c>
      <c r="M100" s="2">
        <f>$AG$40+$AG$41*_dat80[[#This Row],[DecDate]]+_dat80[[#This Row],[DecDate^2]]*$AG$42</f>
        <v>6.8801946365364142</v>
      </c>
      <c r="N100" s="2">
        <f>_dat80[[#This Row],[LOG(Expenditure 80)]]-_dat80[[#This Row],[Linear Trend LOG]]</f>
        <v>1.5268503468391259E-2</v>
      </c>
      <c r="O100" s="2">
        <f t="shared" si="1"/>
        <v>6.0390079741733157E-3</v>
      </c>
      <c r="P100" s="2">
        <f>_dat80[[#This Row],[Cycle 80]]+_dat80[[#This Row],[Linear Trend LOG]]</f>
        <v>6.8864532022536507</v>
      </c>
      <c r="Q100" s="2">
        <f>_dat80[[#This Row],[Detrend(Linear)]]-_dat80[[#This Row],[Cycle 80]]</f>
        <v>9.2294954942179434E-3</v>
      </c>
      <c r="R100" s="2">
        <f>AVERAGEIF(_dat80[Quarter],_dat80[[#This Row],[Quarter]],_dat80[High Frequency])</f>
        <v>3.946848336706609E-3</v>
      </c>
      <c r="S100" s="2">
        <f>_dat80[[#This Row],[S0]]-AVERAGE($R$2:$R$5)</f>
        <v>3.8920300735566758E-3</v>
      </c>
    </row>
    <row r="101" spans="1:19" x14ac:dyDescent="0.35">
      <c r="A101">
        <v>1974</v>
      </c>
      <c r="B101" s="1">
        <f>DATE(_dat80[[#This Row],[Year]],_dat80[[#This Row],[Quarter]]*3-1,15)</f>
        <v>27348</v>
      </c>
      <c r="C101" s="2">
        <f>_dat80[[#This Row],[Year]]+(_dat80[[#This Row],[Quarter]]-1)/4+1/8</f>
        <v>1974.875</v>
      </c>
      <c r="D101" s="2">
        <f>_dat80[[#This Row],[DecDate]]^2</f>
        <v>3900131.265625</v>
      </c>
      <c r="E101">
        <v>4</v>
      </c>
      <c r="F101">
        <v>934</v>
      </c>
      <c r="G101">
        <f>LN(_dat80[[#This Row],[Expenditure]])</f>
        <v>6.8394764382288429</v>
      </c>
      <c r="H101">
        <f>_dat80[[#This Row],[LOG(Expenditure 80)]]-G100</f>
        <v>-5.6206259519025359E-2</v>
      </c>
      <c r="I101">
        <f>(1+(_dat80[[#This Row],[Expenditure]]-F100)/F100)^12-1</f>
        <v>-0.49057626028184409</v>
      </c>
      <c r="J101" s="2">
        <f>$W$17+$W$18*_dat80[[#This Row],[DecDate]]</f>
        <v>983.2594042963392</v>
      </c>
      <c r="K101" s="2">
        <f>$W$40+$W$41*_dat80[[#This Row],[DecDate]]+_dat80[[#This Row],[DecDate^2]]*$W$42</f>
        <v>974.44248988862091</v>
      </c>
      <c r="L101" s="2">
        <f>$AG$17+_dat80[[#This Row],[DecDate]]*$AG$18</f>
        <v>6.8822295684518542</v>
      </c>
      <c r="M101" s="2">
        <f>$AG$40+$AG$41*_dat80[[#This Row],[DecDate]]+_dat80[[#This Row],[DecDate^2]]*$AG$42</f>
        <v>6.8820061005895301</v>
      </c>
      <c r="N101" s="2">
        <f>_dat80[[#This Row],[LOG(Expenditure 80)]]-_dat80[[#This Row],[Linear Trend LOG]]</f>
        <v>-4.2753130223011304E-2</v>
      </c>
      <c r="O101" s="2">
        <f t="shared" si="1"/>
        <v>-3.8910694876369335E-3</v>
      </c>
      <c r="P101" s="2">
        <f>_dat80[[#This Row],[Cycle 80]]+_dat80[[#This Row],[Linear Trend LOG]]</f>
        <v>6.8783384989642169</v>
      </c>
      <c r="Q101" s="2">
        <f>_dat80[[#This Row],[Detrend(Linear)]]-_dat80[[#This Row],[Cycle 80]]</f>
        <v>-3.8862060735374369E-2</v>
      </c>
      <c r="R101" s="2">
        <f>AVERAGEIF(_dat80[Quarter],_dat80[[#This Row],[Quarter]],_dat80[High Frequency])</f>
        <v>-2.9622809170614002E-2</v>
      </c>
      <c r="S101" s="2">
        <f>_dat80[[#This Row],[S0]]-AVERAGE($R$2:$R$5)</f>
        <v>-2.9677627433763936E-2</v>
      </c>
    </row>
    <row r="102" spans="1:19" x14ac:dyDescent="0.35">
      <c r="A102">
        <v>1975</v>
      </c>
      <c r="B102" s="1">
        <f>DATE(_dat80[[#This Row],[Year]],_dat80[[#This Row],[Quarter]]*3-1,15)</f>
        <v>27440</v>
      </c>
      <c r="C102" s="2">
        <f>_dat80[[#This Row],[Year]]+(_dat80[[#This Row],[Quarter]]-1)/4+1/8</f>
        <v>1975.125</v>
      </c>
      <c r="D102" s="2">
        <f>_dat80[[#This Row],[DecDate]]^2</f>
        <v>3901118.765625</v>
      </c>
      <c r="E102">
        <v>1</v>
      </c>
      <c r="F102">
        <v>1014</v>
      </c>
      <c r="G102">
        <f>LN(_dat80[[#This Row],[Expenditure]])</f>
        <v>6.9216581841511289</v>
      </c>
      <c r="H102">
        <f>_dat80[[#This Row],[LOG(Expenditure 80)]]-G101</f>
        <v>8.2181745922285998E-2</v>
      </c>
      <c r="I102">
        <f>(1+(_dat80[[#This Row],[Expenditure]]-F101)/F101)^12-1</f>
        <v>1.6809761172586595</v>
      </c>
      <c r="J102" s="2">
        <f>$W$17+$W$18*_dat80[[#This Row],[DecDate]]</f>
        <v>985.18362378099846</v>
      </c>
      <c r="K102" s="2">
        <f>$W$40+$W$41*_dat80[[#This Row],[DecDate]]+_dat80[[#This Row],[DecDate^2]]*$W$42</f>
        <v>976.21602355227515</v>
      </c>
      <c r="L102" s="2">
        <f>$AG$17+_dat80[[#This Row],[DecDate]]*$AG$18</f>
        <v>6.8840449426242314</v>
      </c>
      <c r="M102" s="2">
        <f>$AG$40+$AG$41*_dat80[[#This Row],[DecDate]]+_dat80[[#This Row],[DecDate^2]]*$AG$42</f>
        <v>6.8838176555756547</v>
      </c>
      <c r="N102" s="2">
        <f>_dat80[[#This Row],[LOG(Expenditure 80)]]-_dat80[[#This Row],[Linear Trend LOG]]</f>
        <v>3.761324152689749E-2</v>
      </c>
      <c r="O102" s="2">
        <f t="shared" si="1"/>
        <v>1.694195109838148E-3</v>
      </c>
      <c r="P102" s="2">
        <f>_dat80[[#This Row],[Cycle 80]]+_dat80[[#This Row],[Linear Trend LOG]]</f>
        <v>6.8857391377340695</v>
      </c>
      <c r="Q102" s="2">
        <f>_dat80[[#This Row],[Detrend(Linear)]]-_dat80[[#This Row],[Cycle 80]]</f>
        <v>3.5919046417059342E-2</v>
      </c>
      <c r="R102" s="2">
        <f>AVERAGEIF(_dat80[Quarter],_dat80[[#This Row],[Quarter]],_dat80[High Frequency])</f>
        <v>3.3009459236017259E-2</v>
      </c>
      <c r="S102" s="2">
        <f>_dat80[[#This Row],[S0]]-AVERAGE($R$2:$R$5)</f>
        <v>3.2954640972867329E-2</v>
      </c>
    </row>
    <row r="103" spans="1:19" x14ac:dyDescent="0.35">
      <c r="A103">
        <v>1975</v>
      </c>
      <c r="B103" s="1">
        <f>DATE(_dat80[[#This Row],[Year]],_dat80[[#This Row],[Quarter]]*3-1,15)</f>
        <v>27529</v>
      </c>
      <c r="C103" s="2">
        <f>_dat80[[#This Row],[Year]]+(_dat80[[#This Row],[Quarter]]-1)/4+1/8</f>
        <v>1975.375</v>
      </c>
      <c r="D103" s="2">
        <f>_dat80[[#This Row],[DecDate]]^2</f>
        <v>3902106.390625</v>
      </c>
      <c r="E103">
        <v>2</v>
      </c>
      <c r="F103">
        <v>966</v>
      </c>
      <c r="G103">
        <f>LN(_dat80[[#This Row],[Expenditure]])</f>
        <v>6.8731638342125176</v>
      </c>
      <c r="H103">
        <f>_dat80[[#This Row],[LOG(Expenditure 80)]]-G102</f>
        <v>-4.8494349938611236E-2</v>
      </c>
      <c r="I103">
        <f>(1+(_dat80[[#This Row],[Expenditure]]-F102)/F102)^12-1</f>
        <v>-0.44118242415824183</v>
      </c>
      <c r="J103" s="2">
        <f>$W$17+$W$18*_dat80[[#This Row],[DecDate]]</f>
        <v>987.10784326565772</v>
      </c>
      <c r="K103" s="2">
        <f>$W$40+$W$41*_dat80[[#This Row],[DecDate]]+_dat80[[#This Row],[DecDate^2]]*$W$42</f>
        <v>977.99314497358864</v>
      </c>
      <c r="L103" s="2">
        <f>$AG$17+_dat80[[#This Row],[DecDate]]*$AG$18</f>
        <v>6.8858603167966086</v>
      </c>
      <c r="M103" s="2">
        <f>$AG$40+$AG$41*_dat80[[#This Row],[DecDate]]+_dat80[[#This Row],[DecDate^2]]*$AG$42</f>
        <v>6.8856293014947827</v>
      </c>
      <c r="N103" s="2">
        <f>_dat80[[#This Row],[LOG(Expenditure 80)]]-_dat80[[#This Row],[Linear Trend LOG]]</f>
        <v>-1.2696482584090951E-2</v>
      </c>
      <c r="O103" s="2">
        <f t="shared" si="1"/>
        <v>-9.8690906950364976E-3</v>
      </c>
      <c r="P103" s="2">
        <f>_dat80[[#This Row],[Cycle 80]]+_dat80[[#This Row],[Linear Trend LOG]]</f>
        <v>6.8759912261015721</v>
      </c>
      <c r="Q103" s="2">
        <f>_dat80[[#This Row],[Detrend(Linear)]]-_dat80[[#This Row],[Cycle 80]]</f>
        <v>-2.8273918890544536E-3</v>
      </c>
      <c r="R103" s="2">
        <f>AVERAGEIF(_dat80[Quarter],_dat80[[#This Row],[Quarter]],_dat80[High Frequency])</f>
        <v>-7.1142253495101353E-3</v>
      </c>
      <c r="S103" s="2">
        <f>_dat80[[#This Row],[S0]]-AVERAGE($R$2:$R$5)</f>
        <v>-7.1690436126600685E-3</v>
      </c>
    </row>
    <row r="104" spans="1:19" x14ac:dyDescent="0.35">
      <c r="A104">
        <v>1975</v>
      </c>
      <c r="B104" s="1">
        <f>DATE(_dat80[[#This Row],[Year]],_dat80[[#This Row],[Quarter]]*3-1,15)</f>
        <v>27621</v>
      </c>
      <c r="C104" s="2">
        <f>_dat80[[#This Row],[Year]]+(_dat80[[#This Row],[Quarter]]-1)/4+1/8</f>
        <v>1975.625</v>
      </c>
      <c r="D104" s="2">
        <f>_dat80[[#This Row],[DecDate]]^2</f>
        <v>3903094.140625</v>
      </c>
      <c r="E104">
        <v>3</v>
      </c>
      <c r="F104">
        <v>991</v>
      </c>
      <c r="G104">
        <f>LN(_dat80[[#This Row],[Expenditure]])</f>
        <v>6.8987145343299883</v>
      </c>
      <c r="H104">
        <f>_dat80[[#This Row],[LOG(Expenditure 80)]]-G103</f>
        <v>2.5550700117470626E-2</v>
      </c>
      <c r="I104">
        <f>(1+(_dat80[[#This Row],[Expenditure]]-F103)/F103)^12-1</f>
        <v>0.35880875627855913</v>
      </c>
      <c r="J104" s="2">
        <f>$W$17+$W$18*_dat80[[#This Row],[DecDate]]</f>
        <v>989.03206275031698</v>
      </c>
      <c r="K104" s="2">
        <f>$W$40+$W$41*_dat80[[#This Row],[DecDate]]+_dat80[[#This Row],[DecDate^2]]*$W$42</f>
        <v>979.77385415253229</v>
      </c>
      <c r="L104" s="2">
        <f>$AG$17+_dat80[[#This Row],[DecDate]]*$AG$18</f>
        <v>6.887675690968984</v>
      </c>
      <c r="M104" s="2">
        <f>$AG$40+$AG$41*_dat80[[#This Row],[DecDate]]+_dat80[[#This Row],[DecDate^2]]*$AG$42</f>
        <v>6.8874410383469176</v>
      </c>
      <c r="N104" s="2">
        <f>_dat80[[#This Row],[LOG(Expenditure 80)]]-_dat80[[#This Row],[Linear Trend LOG]]</f>
        <v>1.1038843361004247E-2</v>
      </c>
      <c r="O104" s="2">
        <f t="shared" si="1"/>
        <v>3.7632515575397817E-3</v>
      </c>
      <c r="P104" s="2">
        <f>_dat80[[#This Row],[Cycle 80]]+_dat80[[#This Row],[Linear Trend LOG]]</f>
        <v>6.8914389425265234</v>
      </c>
      <c r="Q104" s="2">
        <f>_dat80[[#This Row],[Detrend(Linear)]]-_dat80[[#This Row],[Cycle 80]]</f>
        <v>7.2755918034644648E-3</v>
      </c>
      <c r="R104" s="2">
        <f>AVERAGEIF(_dat80[Quarter],_dat80[[#This Row],[Quarter]],_dat80[High Frequency])</f>
        <v>3.946848336706609E-3</v>
      </c>
      <c r="S104" s="2">
        <f>_dat80[[#This Row],[S0]]-AVERAGE($R$2:$R$5)</f>
        <v>3.8920300735566758E-3</v>
      </c>
    </row>
    <row r="105" spans="1:19" x14ac:dyDescent="0.35">
      <c r="A105">
        <v>1975</v>
      </c>
      <c r="B105" s="1">
        <f>DATE(_dat80[[#This Row],[Year]],_dat80[[#This Row],[Quarter]]*3-1,15)</f>
        <v>27713</v>
      </c>
      <c r="C105" s="2">
        <f>_dat80[[#This Row],[Year]]+(_dat80[[#This Row],[Quarter]]-1)/4+1/8</f>
        <v>1975.875</v>
      </c>
      <c r="D105" s="2">
        <f>_dat80[[#This Row],[DecDate]]^2</f>
        <v>3904082.015625</v>
      </c>
      <c r="E105">
        <v>4</v>
      </c>
      <c r="F105">
        <v>941</v>
      </c>
      <c r="G105">
        <f>LN(_dat80[[#This Row],[Expenditure]])</f>
        <v>6.8469431395853793</v>
      </c>
      <c r="H105">
        <f>_dat80[[#This Row],[LOG(Expenditure 80)]]-G104</f>
        <v>-5.1771394744609012E-2</v>
      </c>
      <c r="I105">
        <f>(1+(_dat80[[#This Row],[Expenditure]]-F104)/F104)^12-1</f>
        <v>-0.46273119241567218</v>
      </c>
      <c r="J105" s="2">
        <f>$W$17+$W$18*_dat80[[#This Row],[DecDate]]</f>
        <v>990.95628223497624</v>
      </c>
      <c r="K105" s="2">
        <f>$W$40+$W$41*_dat80[[#This Row],[DecDate]]+_dat80[[#This Row],[DecDate^2]]*$W$42</f>
        <v>981.55815108909155</v>
      </c>
      <c r="L105" s="2">
        <f>$AG$17+_dat80[[#This Row],[DecDate]]*$AG$18</f>
        <v>6.8894910651413612</v>
      </c>
      <c r="M105" s="2">
        <f>$AG$40+$AG$41*_dat80[[#This Row],[DecDate]]+_dat80[[#This Row],[DecDate^2]]*$AG$42</f>
        <v>6.8892528661320602</v>
      </c>
      <c r="N105" s="2">
        <f>_dat80[[#This Row],[LOG(Expenditure 80)]]-_dat80[[#This Row],[Linear Trend LOG]]</f>
        <v>-4.2547925555981969E-2</v>
      </c>
      <c r="O105" s="2">
        <f t="shared" si="1"/>
        <v>-7.7509926025589593E-3</v>
      </c>
      <c r="P105" s="2">
        <f>_dat80[[#This Row],[Cycle 80]]+_dat80[[#This Row],[Linear Trend LOG]]</f>
        <v>6.8817400725388023</v>
      </c>
      <c r="Q105" s="2">
        <f>_dat80[[#This Row],[Detrend(Linear)]]-_dat80[[#This Row],[Cycle 80]]</f>
        <v>-3.479693295342301E-2</v>
      </c>
      <c r="R105" s="2">
        <f>AVERAGEIF(_dat80[Quarter],_dat80[[#This Row],[Quarter]],_dat80[High Frequency])</f>
        <v>-2.9622809170614002E-2</v>
      </c>
      <c r="S105" s="2">
        <f>_dat80[[#This Row],[S0]]-AVERAGE($R$2:$R$5)</f>
        <v>-2.9677627433763936E-2</v>
      </c>
    </row>
    <row r="106" spans="1:19" x14ac:dyDescent="0.35">
      <c r="A106">
        <v>1976</v>
      </c>
      <c r="B106" s="1">
        <f>DATE(_dat80[[#This Row],[Year]],_dat80[[#This Row],[Quarter]]*3-1,15)</f>
        <v>27805</v>
      </c>
      <c r="C106" s="2">
        <f>_dat80[[#This Row],[Year]]+(_dat80[[#This Row],[Quarter]]-1)/4+1/8</f>
        <v>1976.125</v>
      </c>
      <c r="D106" s="2">
        <f>_dat80[[#This Row],[DecDate]]^2</f>
        <v>3905070.015625</v>
      </c>
      <c r="E106">
        <v>1</v>
      </c>
      <c r="F106">
        <v>1009</v>
      </c>
      <c r="G106">
        <f>LN(_dat80[[#This Row],[Expenditure]])</f>
        <v>6.9167150203536085</v>
      </c>
      <c r="H106">
        <f>_dat80[[#This Row],[LOG(Expenditure 80)]]-G105</f>
        <v>6.9771880768229266E-2</v>
      </c>
      <c r="I106">
        <f>(1+(_dat80[[#This Row],[Expenditure]]-F105)/F105)^12-1</f>
        <v>1.3100347534838939</v>
      </c>
      <c r="J106" s="2">
        <f>$W$17+$W$18*_dat80[[#This Row],[DecDate]]</f>
        <v>992.88050171963732</v>
      </c>
      <c r="K106" s="2">
        <f>$W$40+$W$41*_dat80[[#This Row],[DecDate]]+_dat80[[#This Row],[DecDate^2]]*$W$42</f>
        <v>983.34603578332462</v>
      </c>
      <c r="L106" s="2">
        <f>$AG$17+_dat80[[#This Row],[DecDate]]*$AG$18</f>
        <v>6.8913064393137384</v>
      </c>
      <c r="M106" s="2">
        <f>$AG$40+$AG$41*_dat80[[#This Row],[DecDate]]+_dat80[[#This Row],[DecDate^2]]*$AG$42</f>
        <v>6.8910647848502071</v>
      </c>
      <c r="N106" s="2">
        <f>_dat80[[#This Row],[LOG(Expenditure 80)]]-_dat80[[#This Row],[Linear Trend LOG]]</f>
        <v>2.5408581039870093E-2</v>
      </c>
      <c r="O106" s="2">
        <f t="shared" si="1"/>
        <v>-1.8496735671041265E-3</v>
      </c>
      <c r="P106" s="2">
        <f>_dat80[[#This Row],[Cycle 80]]+_dat80[[#This Row],[Linear Trend LOG]]</f>
        <v>6.8894567657466341</v>
      </c>
      <c r="Q106" s="2">
        <f>_dat80[[#This Row],[Detrend(Linear)]]-_dat80[[#This Row],[Cycle 80]]</f>
        <v>2.725825460697422E-2</v>
      </c>
      <c r="R106" s="2">
        <f>AVERAGEIF(_dat80[Quarter],_dat80[[#This Row],[Quarter]],_dat80[High Frequency])</f>
        <v>3.3009459236017259E-2</v>
      </c>
      <c r="S106" s="2">
        <f>_dat80[[#This Row],[S0]]-AVERAGE($R$2:$R$5)</f>
        <v>3.2954640972867329E-2</v>
      </c>
    </row>
    <row r="107" spans="1:19" x14ac:dyDescent="0.35">
      <c r="A107">
        <v>1976</v>
      </c>
      <c r="B107" s="1">
        <f>DATE(_dat80[[#This Row],[Year]],_dat80[[#This Row],[Quarter]]*3-1,15)</f>
        <v>27895</v>
      </c>
      <c r="C107" s="2">
        <f>_dat80[[#This Row],[Year]]+(_dat80[[#This Row],[Quarter]]-1)/4+1/8</f>
        <v>1976.375</v>
      </c>
      <c r="D107" s="2">
        <f>_dat80[[#This Row],[DecDate]]^2</f>
        <v>3906058.140625</v>
      </c>
      <c r="E107">
        <v>2</v>
      </c>
      <c r="F107">
        <v>966</v>
      </c>
      <c r="G107">
        <f>LN(_dat80[[#This Row],[Expenditure]])</f>
        <v>6.8731638342125176</v>
      </c>
      <c r="H107">
        <f>_dat80[[#This Row],[LOG(Expenditure 80)]]-G106</f>
        <v>-4.3551186141090881E-2</v>
      </c>
      <c r="I107">
        <f>(1+(_dat80[[#This Row],[Expenditure]]-F106)/F106)^12-1</f>
        <v>-0.40703163790523988</v>
      </c>
      <c r="J107" s="2">
        <f>$W$17+$W$18*_dat80[[#This Row],[DecDate]]</f>
        <v>994.80472120429658</v>
      </c>
      <c r="K107" s="2">
        <f>$W$40+$W$41*_dat80[[#This Row],[DecDate]]+_dat80[[#This Row],[DecDate^2]]*$W$42</f>
        <v>985.13750823518785</v>
      </c>
      <c r="L107" s="2">
        <f>$AG$17+_dat80[[#This Row],[DecDate]]*$AG$18</f>
        <v>6.8931218134861139</v>
      </c>
      <c r="M107" s="2">
        <f>$AG$40+$AG$41*_dat80[[#This Row],[DecDate]]+_dat80[[#This Row],[DecDate^2]]*$AG$42</f>
        <v>6.8928767945013618</v>
      </c>
      <c r="N107" s="2">
        <f>_dat80[[#This Row],[LOG(Expenditure 80)]]-_dat80[[#This Row],[Linear Trend LOG]]</f>
        <v>-1.9957979273596216E-2</v>
      </c>
      <c r="O107" s="2">
        <f t="shared" si="1"/>
        <v>-9.6050644723373324E-3</v>
      </c>
      <c r="P107" s="2">
        <f>_dat80[[#This Row],[Cycle 80]]+_dat80[[#This Row],[Linear Trend LOG]]</f>
        <v>6.8835167490137765</v>
      </c>
      <c r="Q107" s="2">
        <f>_dat80[[#This Row],[Detrend(Linear)]]-_dat80[[#This Row],[Cycle 80]]</f>
        <v>-1.0352914801258883E-2</v>
      </c>
      <c r="R107" s="2">
        <f>AVERAGEIF(_dat80[Quarter],_dat80[[#This Row],[Quarter]],_dat80[High Frequency])</f>
        <v>-7.1142253495101353E-3</v>
      </c>
      <c r="S107" s="2">
        <f>_dat80[[#This Row],[S0]]-AVERAGE($R$2:$R$5)</f>
        <v>-7.1690436126600685E-3</v>
      </c>
    </row>
    <row r="108" spans="1:19" x14ac:dyDescent="0.35">
      <c r="A108">
        <v>1976</v>
      </c>
      <c r="B108" s="1">
        <f>DATE(_dat80[[#This Row],[Year]],_dat80[[#This Row],[Quarter]]*3-1,15)</f>
        <v>27987</v>
      </c>
      <c r="C108" s="2">
        <f>_dat80[[#This Row],[Year]]+(_dat80[[#This Row],[Quarter]]-1)/4+1/8</f>
        <v>1976.625</v>
      </c>
      <c r="D108" s="2">
        <f>_dat80[[#This Row],[DecDate]]^2</f>
        <v>3907046.390625</v>
      </c>
      <c r="E108">
        <v>3</v>
      </c>
      <c r="F108">
        <v>1004</v>
      </c>
      <c r="G108">
        <f>LN(_dat80[[#This Row],[Expenditure]])</f>
        <v>6.9117473002516743</v>
      </c>
      <c r="H108">
        <f>_dat80[[#This Row],[LOG(Expenditure 80)]]-G107</f>
        <v>3.8583466039156633E-2</v>
      </c>
      <c r="I108">
        <f>(1+(_dat80[[#This Row],[Expenditure]]-F107)/F107)^12-1</f>
        <v>0.58883587258733638</v>
      </c>
      <c r="J108" s="2">
        <f>$W$17+$W$18*_dat80[[#This Row],[DecDate]]</f>
        <v>996.72894068895584</v>
      </c>
      <c r="K108" s="2">
        <f>$W$40+$W$41*_dat80[[#This Row],[DecDate]]+_dat80[[#This Row],[DecDate^2]]*$W$42</f>
        <v>986.93256844471034</v>
      </c>
      <c r="L108" s="2">
        <f>$AG$17+_dat80[[#This Row],[DecDate]]*$AG$18</f>
        <v>6.8949371876584911</v>
      </c>
      <c r="M108" s="2">
        <f>$AG$40+$AG$41*_dat80[[#This Row],[DecDate]]+_dat80[[#This Row],[DecDate^2]]*$AG$42</f>
        <v>6.8946888950855207</v>
      </c>
      <c r="N108" s="2">
        <f>_dat80[[#This Row],[LOG(Expenditure 80)]]-_dat80[[#This Row],[Linear Trend LOG]]</f>
        <v>1.6810112593183213E-2</v>
      </c>
      <c r="O108" s="2">
        <f t="shared" si="1"/>
        <v>6.8478302416023597E-3</v>
      </c>
      <c r="P108" s="2">
        <f>_dat80[[#This Row],[Cycle 80]]+_dat80[[#This Row],[Linear Trend LOG]]</f>
        <v>6.9017850179000932</v>
      </c>
      <c r="Q108" s="2">
        <f>_dat80[[#This Row],[Detrend(Linear)]]-_dat80[[#This Row],[Cycle 80]]</f>
        <v>9.9622823515808541E-3</v>
      </c>
      <c r="R108" s="2">
        <f>AVERAGEIF(_dat80[Quarter],_dat80[[#This Row],[Quarter]],_dat80[High Frequency])</f>
        <v>3.946848336706609E-3</v>
      </c>
      <c r="S108" s="2">
        <f>_dat80[[#This Row],[S0]]-AVERAGE($R$2:$R$5)</f>
        <v>3.8920300735566758E-3</v>
      </c>
    </row>
    <row r="109" spans="1:19" x14ac:dyDescent="0.35">
      <c r="A109">
        <v>1976</v>
      </c>
      <c r="B109" s="1">
        <f>DATE(_dat80[[#This Row],[Year]],_dat80[[#This Row],[Quarter]]*3-1,15)</f>
        <v>28079</v>
      </c>
      <c r="C109" s="2">
        <f>_dat80[[#This Row],[Year]]+(_dat80[[#This Row],[Quarter]]-1)/4+1/8</f>
        <v>1976.875</v>
      </c>
      <c r="D109" s="2">
        <f>_dat80[[#This Row],[DecDate]]^2</f>
        <v>3908034.765625</v>
      </c>
      <c r="E109">
        <v>4</v>
      </c>
      <c r="F109">
        <v>962</v>
      </c>
      <c r="G109">
        <f>LN(_dat80[[#This Row],[Expenditure]])</f>
        <v>6.8690144506657065</v>
      </c>
      <c r="H109">
        <f>_dat80[[#This Row],[LOG(Expenditure 80)]]-G108</f>
        <v>-4.2732849585967791E-2</v>
      </c>
      <c r="I109">
        <f>(1+(_dat80[[#This Row],[Expenditure]]-F108)/F108)^12-1</f>
        <v>-0.40117998094002627</v>
      </c>
      <c r="J109" s="2">
        <f>$W$17+$W$18*_dat80[[#This Row],[DecDate]]</f>
        <v>998.65316017361511</v>
      </c>
      <c r="K109" s="2">
        <f>$W$40+$W$41*_dat80[[#This Row],[DecDate]]+_dat80[[#This Row],[DecDate^2]]*$W$42</f>
        <v>988.73121641183388</v>
      </c>
      <c r="L109" s="2">
        <f>$AG$17+_dat80[[#This Row],[DecDate]]*$AG$18</f>
        <v>6.8967525618308683</v>
      </c>
      <c r="M109" s="2">
        <f>$AG$40+$AG$41*_dat80[[#This Row],[DecDate]]+_dat80[[#This Row],[DecDate^2]]*$AG$42</f>
        <v>6.8965010866026848</v>
      </c>
      <c r="N109" s="2">
        <f>_dat80[[#This Row],[LOG(Expenditure 80)]]-_dat80[[#This Row],[Linear Trend LOG]]</f>
        <v>-2.7738111165161783E-2</v>
      </c>
      <c r="O109" s="2">
        <f t="shared" si="1"/>
        <v>-2.4393871094080311E-3</v>
      </c>
      <c r="P109" s="2">
        <f>_dat80[[#This Row],[Cycle 80]]+_dat80[[#This Row],[Linear Trend LOG]]</f>
        <v>6.8943131747214599</v>
      </c>
      <c r="Q109" s="2">
        <f>_dat80[[#This Row],[Detrend(Linear)]]-_dat80[[#This Row],[Cycle 80]]</f>
        <v>-2.529872405575375E-2</v>
      </c>
      <c r="R109" s="2">
        <f>AVERAGEIF(_dat80[Quarter],_dat80[[#This Row],[Quarter]],_dat80[High Frequency])</f>
        <v>-2.9622809170614002E-2</v>
      </c>
      <c r="S109" s="2">
        <f>_dat80[[#This Row],[S0]]-AVERAGE($R$2:$R$5)</f>
        <v>-2.9677627433763936E-2</v>
      </c>
    </row>
    <row r="110" spans="1:19" x14ac:dyDescent="0.35">
      <c r="A110">
        <v>1977</v>
      </c>
      <c r="B110" s="1">
        <f>DATE(_dat80[[#This Row],[Year]],_dat80[[#This Row],[Quarter]]*3-1,15)</f>
        <v>28171</v>
      </c>
      <c r="C110" s="2">
        <f>_dat80[[#This Row],[Year]]+(_dat80[[#This Row],[Quarter]]-1)/4+1/8</f>
        <v>1977.125</v>
      </c>
      <c r="D110" s="2">
        <f>_dat80[[#This Row],[DecDate]]^2</f>
        <v>3909023.265625</v>
      </c>
      <c r="E110">
        <v>1</v>
      </c>
      <c r="F110">
        <v>1031</v>
      </c>
      <c r="G110">
        <f>LN(_dat80[[#This Row],[Expenditure]])</f>
        <v>6.9382844840169602</v>
      </c>
      <c r="H110">
        <f>_dat80[[#This Row],[LOG(Expenditure 80)]]-G109</f>
        <v>6.9270033351253701E-2</v>
      </c>
      <c r="I110">
        <f>(1+(_dat80[[#This Row],[Expenditure]]-F109)/F109)^12-1</f>
        <v>1.2961651382941763</v>
      </c>
      <c r="J110" s="2">
        <f>$W$17+$W$18*_dat80[[#This Row],[DecDate]]</f>
        <v>1000.5773796582744</v>
      </c>
      <c r="K110" s="2">
        <f>$W$40+$W$41*_dat80[[#This Row],[DecDate]]+_dat80[[#This Row],[DecDate^2]]*$W$42</f>
        <v>990.53345213664579</v>
      </c>
      <c r="L110" s="2">
        <f>$AG$17+_dat80[[#This Row],[DecDate]]*$AG$18</f>
        <v>6.8985679360032437</v>
      </c>
      <c r="M110" s="2">
        <f>$AG$40+$AG$41*_dat80[[#This Row],[DecDate]]+_dat80[[#This Row],[DecDate^2]]*$AG$42</f>
        <v>6.8983133690528575</v>
      </c>
      <c r="N110" s="2">
        <f>_dat80[[#This Row],[LOG(Expenditure 80)]]-_dat80[[#This Row],[Linear Trend LOG]]</f>
        <v>3.9716548013716491E-2</v>
      </c>
      <c r="O110" s="2">
        <f t="shared" si="1"/>
        <v>4.4554759464332959E-3</v>
      </c>
      <c r="P110" s="2">
        <f>_dat80[[#This Row],[Cycle 80]]+_dat80[[#This Row],[Linear Trend LOG]]</f>
        <v>6.9030234119496772</v>
      </c>
      <c r="Q110" s="2">
        <f>_dat80[[#This Row],[Detrend(Linear)]]-_dat80[[#This Row],[Cycle 80]]</f>
        <v>3.5261072067283197E-2</v>
      </c>
      <c r="R110" s="2">
        <f>AVERAGEIF(_dat80[Quarter],_dat80[[#This Row],[Quarter]],_dat80[High Frequency])</f>
        <v>3.3009459236017259E-2</v>
      </c>
      <c r="S110" s="2">
        <f>_dat80[[#This Row],[S0]]-AVERAGE($R$2:$R$5)</f>
        <v>3.2954640972867329E-2</v>
      </c>
    </row>
    <row r="111" spans="1:19" x14ac:dyDescent="0.35">
      <c r="A111">
        <v>1977</v>
      </c>
      <c r="B111" s="1">
        <f>DATE(_dat80[[#This Row],[Year]],_dat80[[#This Row],[Quarter]]*3-1,15)</f>
        <v>28260</v>
      </c>
      <c r="C111" s="2">
        <f>_dat80[[#This Row],[Year]]+(_dat80[[#This Row],[Quarter]]-1)/4+1/8</f>
        <v>1977.375</v>
      </c>
      <c r="D111" s="2">
        <f>_dat80[[#This Row],[DecDate]]^2</f>
        <v>3910011.890625</v>
      </c>
      <c r="E111">
        <v>2</v>
      </c>
      <c r="F111">
        <v>972</v>
      </c>
      <c r="G111">
        <f>LN(_dat80[[#This Row],[Expenditure]])</f>
        <v>6.879355804460439</v>
      </c>
      <c r="H111">
        <f>_dat80[[#This Row],[LOG(Expenditure 80)]]-G110</f>
        <v>-5.8928679556521146E-2</v>
      </c>
      <c r="I111">
        <f>(1+(_dat80[[#This Row],[Expenditure]]-F110)/F110)^12-1</f>
        <v>-0.50694973595905779</v>
      </c>
      <c r="J111" s="2">
        <f>$W$17+$W$18*_dat80[[#This Row],[DecDate]]</f>
        <v>1002.5015991429336</v>
      </c>
      <c r="K111" s="2">
        <f>$W$40+$W$41*_dat80[[#This Row],[DecDate]]+_dat80[[#This Row],[DecDate^2]]*$W$42</f>
        <v>992.33927561908786</v>
      </c>
      <c r="L111" s="2">
        <f>$AG$17+_dat80[[#This Row],[DecDate]]*$AG$18</f>
        <v>6.9003833101756209</v>
      </c>
      <c r="M111" s="2">
        <f>$AG$40+$AG$41*_dat80[[#This Row],[DecDate]]+_dat80[[#This Row],[DecDate^2]]*$AG$42</f>
        <v>6.9001257424360345</v>
      </c>
      <c r="N111" s="2">
        <f>_dat80[[#This Row],[LOG(Expenditure 80)]]-_dat80[[#This Row],[Linear Trend LOG]]</f>
        <v>-2.102750571518186E-2</v>
      </c>
      <c r="O111" s="2">
        <f t="shared" si="1"/>
        <v>-6.9486799856875335E-3</v>
      </c>
      <c r="P111" s="2">
        <f>_dat80[[#This Row],[Cycle 80]]+_dat80[[#This Row],[Linear Trend LOG]]</f>
        <v>6.8934346301899332</v>
      </c>
      <c r="Q111" s="2">
        <f>_dat80[[#This Row],[Detrend(Linear)]]-_dat80[[#This Row],[Cycle 80]]</f>
        <v>-1.4078825729494326E-2</v>
      </c>
      <c r="R111" s="2">
        <f>AVERAGEIF(_dat80[Quarter],_dat80[[#This Row],[Quarter]],_dat80[High Frequency])</f>
        <v>-7.1142253495101353E-3</v>
      </c>
      <c r="S111" s="2">
        <f>_dat80[[#This Row],[S0]]-AVERAGE($R$2:$R$5)</f>
        <v>-7.1690436126600685E-3</v>
      </c>
    </row>
    <row r="112" spans="1:19" x14ac:dyDescent="0.35">
      <c r="A112">
        <v>1977</v>
      </c>
      <c r="B112" s="1">
        <f>DATE(_dat80[[#This Row],[Year]],_dat80[[#This Row],[Quarter]]*3-1,15)</f>
        <v>28352</v>
      </c>
      <c r="C112" s="2">
        <f>_dat80[[#This Row],[Year]]+(_dat80[[#This Row],[Quarter]]-1)/4+1/8</f>
        <v>1977.625</v>
      </c>
      <c r="D112" s="2">
        <f>_dat80[[#This Row],[DecDate]]^2</f>
        <v>3911000.640625</v>
      </c>
      <c r="E112">
        <v>3</v>
      </c>
      <c r="F112">
        <v>1009</v>
      </c>
      <c r="G112">
        <f>LN(_dat80[[#This Row],[Expenditure]])</f>
        <v>6.9167150203536085</v>
      </c>
      <c r="H112">
        <f>_dat80[[#This Row],[LOG(Expenditure 80)]]-G111</f>
        <v>3.7359215893169484E-2</v>
      </c>
      <c r="I112">
        <f>(1+(_dat80[[#This Row],[Expenditure]]-F111)/F111)^12-1</f>
        <v>0.56566490113000989</v>
      </c>
      <c r="J112" s="2">
        <f>$W$17+$W$18*_dat80[[#This Row],[DecDate]]</f>
        <v>1004.4258186275929</v>
      </c>
      <c r="K112" s="2">
        <f>$W$40+$W$41*_dat80[[#This Row],[DecDate]]+_dat80[[#This Row],[DecDate^2]]*$W$42</f>
        <v>994.14868685917463</v>
      </c>
      <c r="L112" s="2">
        <f>$AG$17+_dat80[[#This Row],[DecDate]]*$AG$18</f>
        <v>6.9021986843479981</v>
      </c>
      <c r="M112" s="2">
        <f>$AG$40+$AG$41*_dat80[[#This Row],[DecDate]]+_dat80[[#This Row],[DecDate^2]]*$AG$42</f>
        <v>6.9019382067522193</v>
      </c>
      <c r="N112" s="2">
        <f>_dat80[[#This Row],[LOG(Expenditure 80)]]-_dat80[[#This Row],[Linear Trend LOG]]</f>
        <v>1.451633600561042E-2</v>
      </c>
      <c r="O112" s="2">
        <f t="shared" si="1"/>
        <v>2.7484623533396758E-3</v>
      </c>
      <c r="P112" s="2">
        <f>_dat80[[#This Row],[Cycle 80]]+_dat80[[#This Row],[Linear Trend LOG]]</f>
        <v>6.9049471467013381</v>
      </c>
      <c r="Q112" s="2">
        <f>_dat80[[#This Row],[Detrend(Linear)]]-_dat80[[#This Row],[Cycle 80]]</f>
        <v>1.1767873652270744E-2</v>
      </c>
      <c r="R112" s="2">
        <f>AVERAGEIF(_dat80[Quarter],_dat80[[#This Row],[Quarter]],_dat80[High Frequency])</f>
        <v>3.946848336706609E-3</v>
      </c>
      <c r="S112" s="2">
        <f>_dat80[[#This Row],[S0]]-AVERAGE($R$2:$R$5)</f>
        <v>3.8920300735566758E-3</v>
      </c>
    </row>
    <row r="113" spans="1:19" x14ac:dyDescent="0.35">
      <c r="A113">
        <v>1977</v>
      </c>
      <c r="B113" s="1">
        <f>DATE(_dat80[[#This Row],[Year]],_dat80[[#This Row],[Quarter]]*3-1,15)</f>
        <v>28444</v>
      </c>
      <c r="C113" s="2">
        <f>_dat80[[#This Row],[Year]]+(_dat80[[#This Row],[Quarter]]-1)/4+1/8</f>
        <v>1977.875</v>
      </c>
      <c r="D113" s="2">
        <f>_dat80[[#This Row],[DecDate]]^2</f>
        <v>3911989.515625</v>
      </c>
      <c r="E113">
        <v>4</v>
      </c>
      <c r="F113">
        <v>957</v>
      </c>
      <c r="G113">
        <f>LN(_dat80[[#This Row],[Expenditure]])</f>
        <v>6.8638033914529544</v>
      </c>
      <c r="H113">
        <f>_dat80[[#This Row],[LOG(Expenditure 80)]]-G112</f>
        <v>-5.2911628900654151E-2</v>
      </c>
      <c r="I113">
        <f>(1+(_dat80[[#This Row],[Expenditure]]-F112)/F112)^12-1</f>
        <v>-0.47003247442216467</v>
      </c>
      <c r="J113" s="2">
        <f>$W$17+$W$18*_dat80[[#This Row],[DecDate]]</f>
        <v>1006.3500381122522</v>
      </c>
      <c r="K113" s="2">
        <f>$W$40+$W$41*_dat80[[#This Row],[DecDate]]+_dat80[[#This Row],[DecDate^2]]*$W$42</f>
        <v>995.96168585690612</v>
      </c>
      <c r="L113" s="2">
        <f>$AG$17+_dat80[[#This Row],[DecDate]]*$AG$18</f>
        <v>6.9040140585203753</v>
      </c>
      <c r="M113" s="2">
        <f>$AG$40+$AG$41*_dat80[[#This Row],[DecDate]]+_dat80[[#This Row],[DecDate^2]]*$AG$42</f>
        <v>6.9037507620014082</v>
      </c>
      <c r="N113" s="2">
        <f>_dat80[[#This Row],[LOG(Expenditure 80)]]-_dat80[[#This Row],[Linear Trend LOG]]</f>
        <v>-4.0210667067420935E-2</v>
      </c>
      <c r="O113" s="2">
        <f t="shared" si="1"/>
        <v>-9.8264782138727472E-3</v>
      </c>
      <c r="P113" s="2">
        <f>_dat80[[#This Row],[Cycle 80]]+_dat80[[#This Row],[Linear Trend LOG]]</f>
        <v>6.8941875803065029</v>
      </c>
      <c r="Q113" s="2">
        <f>_dat80[[#This Row],[Detrend(Linear)]]-_dat80[[#This Row],[Cycle 80]]</f>
        <v>-3.038418885354819E-2</v>
      </c>
      <c r="R113" s="2">
        <f>AVERAGEIF(_dat80[Quarter],_dat80[[#This Row],[Quarter]],_dat80[High Frequency])</f>
        <v>-2.9622809170614002E-2</v>
      </c>
      <c r="S113" s="2">
        <f>_dat80[[#This Row],[S0]]-AVERAGE($R$2:$R$5)</f>
        <v>-2.9677627433763936E-2</v>
      </c>
    </row>
    <row r="114" spans="1:19" x14ac:dyDescent="0.35">
      <c r="A114">
        <v>1978</v>
      </c>
      <c r="B114" s="1">
        <f>DATE(_dat80[[#This Row],[Year]],_dat80[[#This Row],[Quarter]]*3-1,15)</f>
        <v>28536</v>
      </c>
      <c r="C114" s="2">
        <f>_dat80[[#This Row],[Year]]+(_dat80[[#This Row],[Quarter]]-1)/4+1/8</f>
        <v>1978.125</v>
      </c>
      <c r="D114" s="2">
        <f>_dat80[[#This Row],[DecDate]]^2</f>
        <v>3912978.515625</v>
      </c>
      <c r="E114">
        <v>1</v>
      </c>
      <c r="F114">
        <v>1019</v>
      </c>
      <c r="G114">
        <f>LN(_dat80[[#This Row],[Expenditure]])</f>
        <v>6.926577033222725</v>
      </c>
      <c r="H114">
        <f>_dat80[[#This Row],[LOG(Expenditure 80)]]-G113</f>
        <v>6.2773641769770627E-2</v>
      </c>
      <c r="I114">
        <f>(1+(_dat80[[#This Row],[Expenditure]]-F113)/F113)^12-1</f>
        <v>1.1239630381710546</v>
      </c>
      <c r="J114" s="2">
        <f>$W$17+$W$18*_dat80[[#This Row],[DecDate]]</f>
        <v>1008.2742575969132</v>
      </c>
      <c r="K114" s="2">
        <f>$W$40+$W$41*_dat80[[#This Row],[DecDate]]+_dat80[[#This Row],[DecDate^2]]*$W$42</f>
        <v>997.7782726122532</v>
      </c>
      <c r="L114" s="2">
        <f>$AG$17+_dat80[[#This Row],[DecDate]]*$AG$18</f>
        <v>6.9058294326927507</v>
      </c>
      <c r="M114" s="2">
        <f>$AG$40+$AG$41*_dat80[[#This Row],[DecDate]]+_dat80[[#This Row],[DecDate^2]]*$AG$42</f>
        <v>6.9055634081836033</v>
      </c>
      <c r="N114" s="2">
        <f>_dat80[[#This Row],[LOG(Expenditure 80)]]-_dat80[[#This Row],[Linear Trend LOG]]</f>
        <v>2.0747600529974264E-2</v>
      </c>
      <c r="O114" s="2">
        <f t="shared" si="1"/>
        <v>-3.9718913112764655E-3</v>
      </c>
      <c r="P114" s="2">
        <f>_dat80[[#This Row],[Cycle 80]]+_dat80[[#This Row],[Linear Trend LOG]]</f>
        <v>6.9018575413814744</v>
      </c>
      <c r="Q114" s="2">
        <f>_dat80[[#This Row],[Detrend(Linear)]]-_dat80[[#This Row],[Cycle 80]]</f>
        <v>2.4719491841250728E-2</v>
      </c>
      <c r="R114" s="2">
        <f>AVERAGEIF(_dat80[Quarter],_dat80[[#This Row],[Quarter]],_dat80[High Frequency])</f>
        <v>3.3009459236017259E-2</v>
      </c>
      <c r="S114" s="2">
        <f>_dat80[[#This Row],[S0]]-AVERAGE($R$2:$R$5)</f>
        <v>3.2954640972867329E-2</v>
      </c>
    </row>
    <row r="115" spans="1:19" x14ac:dyDescent="0.35">
      <c r="A115">
        <v>1978</v>
      </c>
      <c r="B115" s="1">
        <f>DATE(_dat80[[#This Row],[Year]],_dat80[[#This Row],[Quarter]]*3-1,15)</f>
        <v>28625</v>
      </c>
      <c r="C115" s="2">
        <f>_dat80[[#This Row],[Year]]+(_dat80[[#This Row],[Quarter]]-1)/4+1/8</f>
        <v>1978.375</v>
      </c>
      <c r="D115" s="2">
        <f>_dat80[[#This Row],[DecDate]]^2</f>
        <v>3913967.640625</v>
      </c>
      <c r="E115">
        <v>2</v>
      </c>
      <c r="F115">
        <v>977</v>
      </c>
      <c r="G115">
        <f>LN(_dat80[[#This Row],[Expenditure]])</f>
        <v>6.8844866520427823</v>
      </c>
      <c r="H115">
        <f>_dat80[[#This Row],[LOG(Expenditure 80)]]-G114</f>
        <v>-4.2090381179942682E-2</v>
      </c>
      <c r="I115">
        <f>(1+(_dat80[[#This Row],[Expenditure]]-F114)/F114)^12-1</f>
        <v>-0.39654546339132368</v>
      </c>
      <c r="J115" s="2">
        <f>$W$17+$W$18*_dat80[[#This Row],[DecDate]]</f>
        <v>1010.1984770815725</v>
      </c>
      <c r="K115" s="2">
        <f>$W$40+$W$41*_dat80[[#This Row],[DecDate]]+_dat80[[#This Row],[DecDate^2]]*$W$42</f>
        <v>999.59844712527411</v>
      </c>
      <c r="L115" s="2">
        <f>$AG$17+_dat80[[#This Row],[DecDate]]*$AG$18</f>
        <v>6.9076448068651279</v>
      </c>
      <c r="M115" s="2">
        <f>$AG$40+$AG$41*_dat80[[#This Row],[DecDate]]+_dat80[[#This Row],[DecDate^2]]*$AG$42</f>
        <v>6.9073761452988061</v>
      </c>
      <c r="N115" s="2">
        <f>_dat80[[#This Row],[LOG(Expenditure 80)]]-_dat80[[#This Row],[Linear Trend LOG]]</f>
        <v>-2.3158154822345622E-2</v>
      </c>
      <c r="O115" s="2">
        <f t="shared" si="1"/>
        <v>-1.367105525488892E-2</v>
      </c>
      <c r="P115" s="2">
        <f>_dat80[[#This Row],[Cycle 80]]+_dat80[[#This Row],[Linear Trend LOG]]</f>
        <v>6.8939737516102388</v>
      </c>
      <c r="Q115" s="2">
        <f>_dat80[[#This Row],[Detrend(Linear)]]-_dat80[[#This Row],[Cycle 80]]</f>
        <v>-9.487099567456702E-3</v>
      </c>
      <c r="R115" s="2">
        <f>AVERAGEIF(_dat80[Quarter],_dat80[[#This Row],[Quarter]],_dat80[High Frequency])</f>
        <v>-7.1142253495101353E-3</v>
      </c>
      <c r="S115" s="2">
        <f>_dat80[[#This Row],[S0]]-AVERAGE($R$2:$R$5)</f>
        <v>-7.1690436126600685E-3</v>
      </c>
    </row>
    <row r="116" spans="1:19" x14ac:dyDescent="0.35">
      <c r="A116">
        <v>1978</v>
      </c>
      <c r="B116" s="1">
        <f>DATE(_dat80[[#This Row],[Year]],_dat80[[#This Row],[Quarter]]*3-1,15)</f>
        <v>28717</v>
      </c>
      <c r="C116" s="2">
        <f>_dat80[[#This Row],[Year]]+(_dat80[[#This Row],[Quarter]]-1)/4+1/8</f>
        <v>1978.625</v>
      </c>
      <c r="D116" s="2">
        <f>_dat80[[#This Row],[DecDate]]^2</f>
        <v>3914956.890625</v>
      </c>
      <c r="E116">
        <v>3</v>
      </c>
      <c r="F116">
        <v>1010</v>
      </c>
      <c r="G116">
        <f>LN(_dat80[[#This Row],[Expenditure]])</f>
        <v>6.9177056098353047</v>
      </c>
      <c r="H116">
        <f>_dat80[[#This Row],[LOG(Expenditure 80)]]-G115</f>
        <v>3.3218957792522374E-2</v>
      </c>
      <c r="I116">
        <f>(1+(_dat80[[#This Row],[Expenditure]]-F115)/F115)^12-1</f>
        <v>0.48977856304992473</v>
      </c>
      <c r="J116" s="2">
        <f>$W$17+$W$18*_dat80[[#This Row],[DecDate]]</f>
        <v>1012.1226965662318</v>
      </c>
      <c r="K116" s="2">
        <f>$W$40+$W$41*_dat80[[#This Row],[DecDate]]+_dat80[[#This Row],[DecDate^2]]*$W$42</f>
        <v>1001.4222093959397</v>
      </c>
      <c r="L116" s="2">
        <f>$AG$17+_dat80[[#This Row],[DecDate]]*$AG$18</f>
        <v>6.9094601810375051</v>
      </c>
      <c r="M116" s="2">
        <f>$AG$40+$AG$41*_dat80[[#This Row],[DecDate]]+_dat80[[#This Row],[DecDate^2]]*$AG$42</f>
        <v>6.9091889733470131</v>
      </c>
      <c r="N116" s="2">
        <f>_dat80[[#This Row],[LOG(Expenditure 80)]]-_dat80[[#This Row],[Linear Trend LOG]]</f>
        <v>8.2454287977995477E-3</v>
      </c>
      <c r="O116" s="2">
        <f t="shared" si="1"/>
        <v>2.6806652583411862E-3</v>
      </c>
      <c r="P116" s="2">
        <f>_dat80[[#This Row],[Cycle 80]]+_dat80[[#This Row],[Linear Trend LOG]]</f>
        <v>6.9121408462958467</v>
      </c>
      <c r="Q116" s="2">
        <f>_dat80[[#This Row],[Detrend(Linear)]]-_dat80[[#This Row],[Cycle 80]]</f>
        <v>5.564763539458362E-3</v>
      </c>
      <c r="R116" s="2">
        <f>AVERAGEIF(_dat80[Quarter],_dat80[[#This Row],[Quarter]],_dat80[High Frequency])</f>
        <v>3.946848336706609E-3</v>
      </c>
      <c r="S116" s="2">
        <f>_dat80[[#This Row],[S0]]-AVERAGE($R$2:$R$5)</f>
        <v>3.8920300735566758E-3</v>
      </c>
    </row>
    <row r="117" spans="1:19" x14ac:dyDescent="0.35">
      <c r="A117">
        <v>1978</v>
      </c>
      <c r="B117" s="1">
        <f>DATE(_dat80[[#This Row],[Year]],_dat80[[#This Row],[Quarter]]*3-1,15)</f>
        <v>28809</v>
      </c>
      <c r="C117" s="2">
        <f>_dat80[[#This Row],[Year]]+(_dat80[[#This Row],[Quarter]]-1)/4+1/8</f>
        <v>1978.875</v>
      </c>
      <c r="D117" s="2">
        <f>_dat80[[#This Row],[DecDate]]^2</f>
        <v>3915946.265625</v>
      </c>
      <c r="E117">
        <v>4</v>
      </c>
      <c r="F117">
        <v>970</v>
      </c>
      <c r="G117">
        <f>LN(_dat80[[#This Row],[Expenditure]])</f>
        <v>6.8772960714974287</v>
      </c>
      <c r="H117">
        <f>_dat80[[#This Row],[LOG(Expenditure 80)]]-G116</f>
        <v>-4.0409538337875972E-2</v>
      </c>
      <c r="I117">
        <f>(1+(_dat80[[#This Row],[Expenditure]]-F116)/F116)^12-1</f>
        <v>-0.38425013427845367</v>
      </c>
      <c r="J117" s="2">
        <f>$W$17+$W$18*_dat80[[#This Row],[DecDate]]</f>
        <v>1014.046916050891</v>
      </c>
      <c r="K117" s="2">
        <f>$W$40+$W$41*_dat80[[#This Row],[DecDate]]+_dat80[[#This Row],[DecDate^2]]*$W$42</f>
        <v>1003.2495594242355</v>
      </c>
      <c r="L117" s="2">
        <f>$AG$17+_dat80[[#This Row],[DecDate]]*$AG$18</f>
        <v>6.9112755552098806</v>
      </c>
      <c r="M117" s="2">
        <f>$AG$40+$AG$41*_dat80[[#This Row],[DecDate]]+_dat80[[#This Row],[DecDate^2]]*$AG$42</f>
        <v>6.9110018923282279</v>
      </c>
      <c r="N117" s="2">
        <f>_dat80[[#This Row],[LOG(Expenditure 80)]]-_dat80[[#This Row],[Linear Trend LOG]]</f>
        <v>-3.3979483712451852E-2</v>
      </c>
      <c r="O117" s="2">
        <f t="shared" si="1"/>
        <v>-3.7006640416610281E-3</v>
      </c>
      <c r="P117" s="2">
        <f>_dat80[[#This Row],[Cycle 80]]+_dat80[[#This Row],[Linear Trend LOG]]</f>
        <v>6.9075748911682195</v>
      </c>
      <c r="Q117" s="2">
        <f>_dat80[[#This Row],[Detrend(Linear)]]-_dat80[[#This Row],[Cycle 80]]</f>
        <v>-3.0278819670790824E-2</v>
      </c>
      <c r="R117" s="2">
        <f>AVERAGEIF(_dat80[Quarter],_dat80[[#This Row],[Quarter]],_dat80[High Frequency])</f>
        <v>-2.9622809170614002E-2</v>
      </c>
      <c r="S117" s="2">
        <f>_dat80[[#This Row],[S0]]-AVERAGE($R$2:$R$5)</f>
        <v>-2.9677627433763936E-2</v>
      </c>
    </row>
    <row r="118" spans="1:19" x14ac:dyDescent="0.35">
      <c r="A118">
        <v>1979</v>
      </c>
      <c r="B118" s="1">
        <f>DATE(_dat80[[#This Row],[Year]],_dat80[[#This Row],[Quarter]]*3-1,15)</f>
        <v>28901</v>
      </c>
      <c r="C118" s="2">
        <f>_dat80[[#This Row],[Year]]+(_dat80[[#This Row],[Quarter]]-1)/4+1/8</f>
        <v>1979.125</v>
      </c>
      <c r="D118" s="2">
        <f>_dat80[[#This Row],[DecDate]]^2</f>
        <v>3916935.765625</v>
      </c>
      <c r="E118">
        <v>1</v>
      </c>
      <c r="F118">
        <v>1048</v>
      </c>
      <c r="G118">
        <f>LN(_dat80[[#This Row],[Expenditure]])</f>
        <v>6.9546388648809874</v>
      </c>
      <c r="H118">
        <f>_dat80[[#This Row],[LOG(Expenditure 80)]]-G117</f>
        <v>7.734279338355865E-2</v>
      </c>
      <c r="I118">
        <f>(1+(_dat80[[#This Row],[Expenditure]]-F117)/F117)^12-1</f>
        <v>1.5297323853487685</v>
      </c>
      <c r="J118" s="2">
        <f>$W$17+$W$18*_dat80[[#This Row],[DecDate]]</f>
        <v>1015.9711355355503</v>
      </c>
      <c r="K118" s="2">
        <f>$W$40+$W$41*_dat80[[#This Row],[DecDate]]+_dat80[[#This Row],[DecDate^2]]*$W$42</f>
        <v>1005.0804972101905</v>
      </c>
      <c r="L118" s="2">
        <f>$AG$17+_dat80[[#This Row],[DecDate]]*$AG$18</f>
        <v>6.9130909293822578</v>
      </c>
      <c r="M118" s="2">
        <f>$AG$40+$AG$41*_dat80[[#This Row],[DecDate]]+_dat80[[#This Row],[DecDate^2]]*$AG$42</f>
        <v>6.912814902242447</v>
      </c>
      <c r="N118" s="2">
        <f>_dat80[[#This Row],[LOG(Expenditure 80)]]-_dat80[[#This Row],[Linear Trend LOG]]</f>
        <v>4.1547935498729593E-2</v>
      </c>
      <c r="O118" s="2">
        <f t="shared" si="1"/>
        <v>4.6607205804276575E-3</v>
      </c>
      <c r="P118" s="2">
        <f>_dat80[[#This Row],[Cycle 80]]+_dat80[[#This Row],[Linear Trend LOG]]</f>
        <v>6.9177516499626854</v>
      </c>
      <c r="Q118" s="2">
        <f>_dat80[[#This Row],[Detrend(Linear)]]-_dat80[[#This Row],[Cycle 80]]</f>
        <v>3.6887214918301936E-2</v>
      </c>
      <c r="R118" s="2">
        <f>AVERAGEIF(_dat80[Quarter],_dat80[[#This Row],[Quarter]],_dat80[High Frequency])</f>
        <v>3.3009459236017259E-2</v>
      </c>
      <c r="S118" s="2">
        <f>_dat80[[#This Row],[S0]]-AVERAGE($R$2:$R$5)</f>
        <v>3.2954640972867329E-2</v>
      </c>
    </row>
    <row r="119" spans="1:19" x14ac:dyDescent="0.35">
      <c r="A119">
        <v>1979</v>
      </c>
      <c r="B119" s="1">
        <f>DATE(_dat80[[#This Row],[Year]],_dat80[[#This Row],[Quarter]]*3-1,15)</f>
        <v>28990</v>
      </c>
      <c r="C119" s="2">
        <f>_dat80[[#This Row],[Year]]+(_dat80[[#This Row],[Quarter]]-1)/4+1/8</f>
        <v>1979.375</v>
      </c>
      <c r="D119" s="2">
        <f>_dat80[[#This Row],[DecDate]]^2</f>
        <v>3917925.390625</v>
      </c>
      <c r="E119">
        <v>2</v>
      </c>
      <c r="F119">
        <v>996</v>
      </c>
      <c r="G119">
        <f>LN(_dat80[[#This Row],[Expenditure]])</f>
        <v>6.9037472575845982</v>
      </c>
      <c r="H119">
        <f>_dat80[[#This Row],[LOG(Expenditure 80)]]-G118</f>
        <v>-5.0891607296389196E-2</v>
      </c>
      <c r="I119">
        <f>(1+(_dat80[[#This Row],[Expenditure]]-F118)/F118)^12-1</f>
        <v>-0.4570289566079857</v>
      </c>
      <c r="J119" s="2">
        <f>$W$17+$W$18*_dat80[[#This Row],[DecDate]]</f>
        <v>1017.8953550202095</v>
      </c>
      <c r="K119" s="2">
        <f>$W$40+$W$41*_dat80[[#This Row],[DecDate]]+_dat80[[#This Row],[DecDate^2]]*$W$42</f>
        <v>1006.9150227537466</v>
      </c>
      <c r="L119" s="2">
        <f>$AG$17+_dat80[[#This Row],[DecDate]]*$AG$18</f>
        <v>6.914906303554635</v>
      </c>
      <c r="M119" s="2">
        <f>$AG$40+$AG$41*_dat80[[#This Row],[DecDate]]+_dat80[[#This Row],[DecDate^2]]*$AG$42</f>
        <v>6.9146280030896721</v>
      </c>
      <c r="N119" s="2">
        <f>_dat80[[#This Row],[LOG(Expenditure 80)]]-_dat80[[#This Row],[Linear Trend LOG]]</f>
        <v>-1.1159045970036807E-2</v>
      </c>
      <c r="O119" s="2">
        <f t="shared" si="1"/>
        <v>-4.4135148305027624E-3</v>
      </c>
      <c r="P119" s="2">
        <f>_dat80[[#This Row],[Cycle 80]]+_dat80[[#This Row],[Linear Trend LOG]]</f>
        <v>6.9104927887241319</v>
      </c>
      <c r="Q119" s="2">
        <f>_dat80[[#This Row],[Detrend(Linear)]]-_dat80[[#This Row],[Cycle 80]]</f>
        <v>-6.7455311395340448E-3</v>
      </c>
      <c r="R119" s="2">
        <f>AVERAGEIF(_dat80[Quarter],_dat80[[#This Row],[Quarter]],_dat80[High Frequency])</f>
        <v>-7.1142253495101353E-3</v>
      </c>
      <c r="S119" s="2">
        <f>_dat80[[#This Row],[S0]]-AVERAGE($R$2:$R$5)</f>
        <v>-7.1690436126600685E-3</v>
      </c>
    </row>
    <row r="120" spans="1:19" x14ac:dyDescent="0.35">
      <c r="A120">
        <v>1979</v>
      </c>
      <c r="B120" s="1">
        <f>DATE(_dat80[[#This Row],[Year]],_dat80[[#This Row],[Quarter]]*3-1,15)</f>
        <v>29082</v>
      </c>
      <c r="C120" s="2">
        <f>_dat80[[#This Row],[Year]]+(_dat80[[#This Row],[Quarter]]-1)/4+1/8</f>
        <v>1979.625</v>
      </c>
      <c r="D120" s="2">
        <f>_dat80[[#This Row],[DecDate]]^2</f>
        <v>3918915.140625</v>
      </c>
      <c r="E120">
        <v>3</v>
      </c>
      <c r="F120">
        <v>1028</v>
      </c>
      <c r="G120">
        <f>LN(_dat80[[#This Row],[Expenditure]])</f>
        <v>6.93537044601511</v>
      </c>
      <c r="H120">
        <f>_dat80[[#This Row],[LOG(Expenditure 80)]]-G119</f>
        <v>3.1623188430511817E-2</v>
      </c>
      <c r="I120">
        <f>(1+(_dat80[[#This Row],[Expenditure]]-F119)/F119)^12-1</f>
        <v>0.46152185776843746</v>
      </c>
      <c r="J120" s="2">
        <f>$W$17+$W$18*_dat80[[#This Row],[DecDate]]</f>
        <v>1019.8195745048688</v>
      </c>
      <c r="K120" s="2">
        <f>$W$40+$W$41*_dat80[[#This Row],[DecDate]]+_dat80[[#This Row],[DecDate^2]]*$W$42</f>
        <v>1008.753136054991</v>
      </c>
      <c r="L120" s="2">
        <f>$AG$17+_dat80[[#This Row],[DecDate]]*$AG$18</f>
        <v>6.9167216777270122</v>
      </c>
      <c r="M120" s="2">
        <f>$AG$40+$AG$41*_dat80[[#This Row],[DecDate]]+_dat80[[#This Row],[DecDate^2]]*$AG$42</f>
        <v>6.9164411948699058</v>
      </c>
      <c r="N120" s="2">
        <f>_dat80[[#This Row],[LOG(Expenditure 80)]]-_dat80[[#This Row],[Linear Trend LOG]]</f>
        <v>1.8648768288097806E-2</v>
      </c>
      <c r="O120" s="2">
        <f t="shared" si="1"/>
        <v>8.8576256226083668E-3</v>
      </c>
      <c r="P120" s="2">
        <f>_dat80[[#This Row],[Cycle 80]]+_dat80[[#This Row],[Linear Trend LOG]]</f>
        <v>6.9255793033496209</v>
      </c>
      <c r="Q120" s="2">
        <f>_dat80[[#This Row],[Detrend(Linear)]]-_dat80[[#This Row],[Cycle 80]]</f>
        <v>9.7911426654894388E-3</v>
      </c>
      <c r="R120" s="2">
        <f>AVERAGEIF(_dat80[Quarter],_dat80[[#This Row],[Quarter]],_dat80[High Frequency])</f>
        <v>3.946848336706609E-3</v>
      </c>
      <c r="S120" s="2">
        <f>_dat80[[#This Row],[S0]]-AVERAGE($R$2:$R$5)</f>
        <v>3.8920300735566758E-3</v>
      </c>
    </row>
    <row r="121" spans="1:19" x14ac:dyDescent="0.35">
      <c r="A121">
        <v>1979</v>
      </c>
      <c r="B121" s="1">
        <f>DATE(_dat80[[#This Row],[Year]],_dat80[[#This Row],[Quarter]]*3-1,15)</f>
        <v>29174</v>
      </c>
      <c r="C121" s="2">
        <f>_dat80[[#This Row],[Year]]+(_dat80[[#This Row],[Quarter]]-1)/4+1/8</f>
        <v>1979.875</v>
      </c>
      <c r="D121" s="2">
        <f>_dat80[[#This Row],[DecDate]]^2</f>
        <v>3919905.015625</v>
      </c>
      <c r="E121">
        <v>4</v>
      </c>
      <c r="F121">
        <v>974</v>
      </c>
      <c r="G121">
        <f>LN(_dat80[[#This Row],[Expenditure]])</f>
        <v>6.8814113036425351</v>
      </c>
      <c r="H121">
        <f>_dat80[[#This Row],[LOG(Expenditure 80)]]-G120</f>
        <v>-5.3959142372574931E-2</v>
      </c>
      <c r="I121">
        <f>(1+(_dat80[[#This Row],[Expenditure]]-F120)/F120)^12-1</f>
        <v>-0.47665255697177211</v>
      </c>
      <c r="J121" s="2">
        <f>$W$17+$W$18*_dat80[[#This Row],[DecDate]]</f>
        <v>1021.7437939895299</v>
      </c>
      <c r="K121" s="2">
        <f>$W$40+$W$41*_dat80[[#This Row],[DecDate]]+_dat80[[#This Row],[DecDate^2]]*$W$42</f>
        <v>1010.5948371138657</v>
      </c>
      <c r="L121" s="2">
        <f>$AG$17+_dat80[[#This Row],[DecDate]]*$AG$18</f>
        <v>6.9185370518993876</v>
      </c>
      <c r="M121" s="2">
        <f>$AG$40+$AG$41*_dat80[[#This Row],[DecDate]]+_dat80[[#This Row],[DecDate^2]]*$AG$42</f>
        <v>6.918254477583142</v>
      </c>
      <c r="N121" s="2">
        <f>_dat80[[#This Row],[LOG(Expenditure 80)]]-_dat80[[#This Row],[Linear Trend LOG]]</f>
        <v>-3.7125748256852553E-2</v>
      </c>
      <c r="O121" s="2">
        <f t="shared" si="1"/>
        <v>-2.5345657962551728E-3</v>
      </c>
      <c r="P121" s="2">
        <f>_dat80[[#This Row],[Cycle 80]]+_dat80[[#This Row],[Linear Trend LOG]]</f>
        <v>6.9160024861031326</v>
      </c>
      <c r="Q121" s="2">
        <f>_dat80[[#This Row],[Detrend(Linear)]]-_dat80[[#This Row],[Cycle 80]]</f>
        <v>-3.4591182460597378E-2</v>
      </c>
      <c r="R121" s="2">
        <f>AVERAGEIF(_dat80[Quarter],_dat80[[#This Row],[Quarter]],_dat80[High Frequency])</f>
        <v>-2.9622809170614002E-2</v>
      </c>
      <c r="S121" s="2">
        <f>_dat80[[#This Row],[S0]]-AVERAGE($R$2:$R$5)</f>
        <v>-2.9677627433763936E-2</v>
      </c>
    </row>
    <row r="122" spans="1:19" x14ac:dyDescent="0.35">
      <c r="A122">
        <v>1980</v>
      </c>
      <c r="B122" s="1">
        <f>DATE(_dat80[[#This Row],[Year]],_dat80[[#This Row],[Quarter]]*3-1,15)</f>
        <v>29266</v>
      </c>
      <c r="C122" s="2">
        <f>_dat80[[#This Row],[Year]]+(_dat80[[#This Row],[Quarter]]-1)/4+1/8</f>
        <v>1980.125</v>
      </c>
      <c r="D122" s="2">
        <f>_dat80[[#This Row],[DecDate]]^2</f>
        <v>3920895.015625</v>
      </c>
      <c r="E122">
        <v>1</v>
      </c>
      <c r="F122">
        <v>1046</v>
      </c>
      <c r="G122">
        <f>LN(_dat80[[#This Row],[Expenditure]])</f>
        <v>6.9527286446248686</v>
      </c>
      <c r="H122">
        <f>_dat80[[#This Row],[LOG(Expenditure 80)]]-G121</f>
        <v>7.1317340982333555E-2</v>
      </c>
      <c r="I122">
        <f>(1+(_dat80[[#This Row],[Expenditure]]-F121)/F121)^12-1</f>
        <v>1.3532752748474364</v>
      </c>
      <c r="J122" s="2">
        <f>$W$17+$W$18*_dat80[[#This Row],[DecDate]]</f>
        <v>1023.6680134741891</v>
      </c>
      <c r="K122" s="2">
        <f>$W$40+$W$41*_dat80[[#This Row],[DecDate]]+_dat80[[#This Row],[DecDate^2]]*$W$42</f>
        <v>1012.440125930385</v>
      </c>
      <c r="L122" s="2">
        <f>$AG$17+_dat80[[#This Row],[DecDate]]*$AG$18</f>
        <v>6.9203524260717648</v>
      </c>
      <c r="M122" s="2">
        <f>$AG$40+$AG$41*_dat80[[#This Row],[DecDate]]+_dat80[[#This Row],[DecDate^2]]*$AG$42</f>
        <v>6.9200678512293869</v>
      </c>
      <c r="N122" s="2">
        <f>_dat80[[#This Row],[LOG(Expenditure 80)]]-_dat80[[#This Row],[Linear Trend LOG]]</f>
        <v>3.2376218553103797E-2</v>
      </c>
      <c r="O122" s="2">
        <f t="shared" si="1"/>
        <v>2.9451023383764152E-3</v>
      </c>
      <c r="P122" s="2">
        <f>_dat80[[#This Row],[Cycle 80]]+_dat80[[#This Row],[Linear Trend LOG]]</f>
        <v>6.9232975284101412</v>
      </c>
      <c r="Q122" s="2">
        <f>_dat80[[#This Row],[Detrend(Linear)]]-_dat80[[#This Row],[Cycle 80]]</f>
        <v>2.9431116214727382E-2</v>
      </c>
      <c r="R122" s="2">
        <f>AVERAGEIF(_dat80[Quarter],_dat80[[#This Row],[Quarter]],_dat80[High Frequency])</f>
        <v>3.3009459236017259E-2</v>
      </c>
      <c r="S122" s="2">
        <f>_dat80[[#This Row],[S0]]-AVERAGE($R$2:$R$5)</f>
        <v>3.2954640972867329E-2</v>
      </c>
    </row>
    <row r="123" spans="1:19" x14ac:dyDescent="0.35">
      <c r="A123">
        <v>1980</v>
      </c>
      <c r="B123" s="1">
        <f>DATE(_dat80[[#This Row],[Year]],_dat80[[#This Row],[Quarter]]*3-1,15)</f>
        <v>29356</v>
      </c>
      <c r="C123" s="2">
        <f>_dat80[[#This Row],[Year]]+(_dat80[[#This Row],[Quarter]]-1)/4+1/8</f>
        <v>1980.375</v>
      </c>
      <c r="D123" s="2">
        <f>_dat80[[#This Row],[DecDate]]^2</f>
        <v>3921885.140625</v>
      </c>
      <c r="E123">
        <v>2</v>
      </c>
      <c r="F123">
        <v>999</v>
      </c>
      <c r="G123">
        <f>LN(_dat80[[#This Row],[Expenditure]])</f>
        <v>6.9067547786485539</v>
      </c>
      <c r="H123">
        <f>_dat80[[#This Row],[LOG(Expenditure 80)]]-G122</f>
        <v>-4.5973865976314698E-2</v>
      </c>
      <c r="I123">
        <f>(1+(_dat80[[#This Row],[Expenditure]]-F122)/F122)^12-1</f>
        <v>-0.42402233306244219</v>
      </c>
      <c r="J123" s="2">
        <f>$W$17+$W$18*_dat80[[#This Row],[DecDate]]</f>
        <v>1025.5922329588484</v>
      </c>
      <c r="K123" s="2">
        <f>$W$40+$W$41*_dat80[[#This Row],[DecDate]]+_dat80[[#This Row],[DecDate^2]]*$W$42</f>
        <v>1014.2890025045199</v>
      </c>
      <c r="L123" s="2">
        <f>$AG$17+_dat80[[#This Row],[DecDate]]*$AG$18</f>
        <v>6.922167800244142</v>
      </c>
      <c r="M123" s="2">
        <f>$AG$40+$AG$41*_dat80[[#This Row],[DecDate]]+_dat80[[#This Row],[DecDate^2]]*$AG$42</f>
        <v>6.921881315808637</v>
      </c>
      <c r="N123" s="2">
        <f>_dat80[[#This Row],[LOG(Expenditure 80)]]-_dat80[[#This Row],[Linear Trend LOG]]</f>
        <v>-1.5413021595588106E-2</v>
      </c>
      <c r="O123" s="2">
        <f t="shared" si="1"/>
        <v>-6.4033724112949383E-3</v>
      </c>
      <c r="P123" s="2">
        <f>_dat80[[#This Row],[Cycle 80]]+_dat80[[#This Row],[Linear Trend LOG]]</f>
        <v>6.9157644278328467</v>
      </c>
      <c r="Q123" s="2">
        <f>_dat80[[#This Row],[Detrend(Linear)]]-_dat80[[#This Row],[Cycle 80]]</f>
        <v>-9.0096491842931673E-3</v>
      </c>
      <c r="R123" s="2">
        <f>AVERAGEIF(_dat80[Quarter],_dat80[[#This Row],[Quarter]],_dat80[High Frequency])</f>
        <v>-7.1142253495101353E-3</v>
      </c>
      <c r="S123" s="2">
        <f>_dat80[[#This Row],[S0]]-AVERAGE($R$2:$R$5)</f>
        <v>-7.1690436126600685E-3</v>
      </c>
    </row>
    <row r="124" spans="1:19" x14ac:dyDescent="0.35">
      <c r="A124">
        <v>1980</v>
      </c>
      <c r="B124" s="1">
        <f>DATE(_dat80[[#This Row],[Year]],_dat80[[#This Row],[Quarter]]*3-1,15)</f>
        <v>29448</v>
      </c>
      <c r="C124" s="2">
        <f>_dat80[[#This Row],[Year]]+(_dat80[[#This Row],[Quarter]]-1)/4+1/8</f>
        <v>1980.625</v>
      </c>
      <c r="D124" s="2">
        <f>_dat80[[#This Row],[DecDate]]^2</f>
        <v>3922875.390625</v>
      </c>
      <c r="E124">
        <v>3</v>
      </c>
      <c r="F124">
        <v>1033</v>
      </c>
      <c r="G124">
        <f>LN(_dat80[[#This Row],[Expenditure]])</f>
        <v>6.9402224691196386</v>
      </c>
      <c r="H124">
        <f>_dat80[[#This Row],[LOG(Expenditure 80)]]-G123</f>
        <v>3.3467690471084666E-2</v>
      </c>
      <c r="I124">
        <f>(1+(_dat80[[#This Row],[Expenditure]]-F123)/F123)^12-1</f>
        <v>0.49423188521364092</v>
      </c>
      <c r="J124" s="2">
        <f>$W$17+$W$18*_dat80[[#This Row],[DecDate]]</f>
        <v>1027.5164524435077</v>
      </c>
      <c r="K124" s="2">
        <f>$W$40+$W$41*_dat80[[#This Row],[DecDate]]+_dat80[[#This Row],[DecDate^2]]*$W$42</f>
        <v>1016.1414668363141</v>
      </c>
      <c r="L124" s="2">
        <f>$AG$17+_dat80[[#This Row],[DecDate]]*$AG$18</f>
        <v>6.9239831744165174</v>
      </c>
      <c r="M124" s="2">
        <f>$AG$40+$AG$41*_dat80[[#This Row],[DecDate]]+_dat80[[#This Row],[DecDate^2]]*$AG$42</f>
        <v>6.9236948713208921</v>
      </c>
      <c r="N124" s="2">
        <f>_dat80[[#This Row],[LOG(Expenditure 80)]]-_dat80[[#This Row],[Linear Trend LOG]]</f>
        <v>1.6239294703121132E-2</v>
      </c>
      <c r="O124" s="2">
        <f t="shared" si="1"/>
        <v>8.136989861868749E-3</v>
      </c>
      <c r="P124" s="2">
        <f>_dat80[[#This Row],[Cycle 80]]+_dat80[[#This Row],[Linear Trend LOG]]</f>
        <v>6.9321201642783858</v>
      </c>
      <c r="Q124" s="2">
        <f>_dat80[[#This Row],[Detrend(Linear)]]-_dat80[[#This Row],[Cycle 80]]</f>
        <v>8.1023048412523831E-3</v>
      </c>
      <c r="R124" s="2">
        <f>AVERAGEIF(_dat80[Quarter],_dat80[[#This Row],[Quarter]],_dat80[High Frequency])</f>
        <v>3.946848336706609E-3</v>
      </c>
      <c r="S124" s="2">
        <f>_dat80[[#This Row],[S0]]-AVERAGE($R$2:$R$5)</f>
        <v>3.8920300735566758E-3</v>
      </c>
    </row>
    <row r="125" spans="1:19" x14ac:dyDescent="0.35">
      <c r="A125">
        <v>1980</v>
      </c>
      <c r="B125" s="1">
        <f>DATE(_dat80[[#This Row],[Year]],_dat80[[#This Row],[Quarter]]*3-1,15)</f>
        <v>29540</v>
      </c>
      <c r="C125" s="2">
        <f>_dat80[[#This Row],[Year]]+(_dat80[[#This Row],[Quarter]]-1)/4+1/8</f>
        <v>1980.875</v>
      </c>
      <c r="D125" s="2">
        <f>_dat80[[#This Row],[DecDate]]^2</f>
        <v>3923865.765625</v>
      </c>
      <c r="E125">
        <v>4</v>
      </c>
      <c r="F125">
        <v>990</v>
      </c>
      <c r="G125">
        <f>LN(_dat80[[#This Row],[Expenditure]])</f>
        <v>6.8977049431286357</v>
      </c>
      <c r="H125">
        <f>_dat80[[#This Row],[LOG(Expenditure 80)]]-G124</f>
        <v>-4.2517525991002891E-2</v>
      </c>
      <c r="I125">
        <f>(1+(_dat80[[#This Row],[Expenditure]]-F124)/F124)^12-1</f>
        <v>-0.39963069926971628</v>
      </c>
      <c r="J125" s="2">
        <f>$W$17+$W$18*_dat80[[#This Row],[DecDate]]</f>
        <v>1029.4406719281669</v>
      </c>
      <c r="K125" s="2">
        <f>$W$40+$W$41*_dat80[[#This Row],[DecDate]]+_dat80[[#This Row],[DecDate^2]]*$W$42</f>
        <v>1017.9975189257675</v>
      </c>
      <c r="L125" s="2">
        <f>$AG$17+_dat80[[#This Row],[DecDate]]*$AG$18</f>
        <v>6.9257985485888947</v>
      </c>
      <c r="M125" s="2">
        <f>$AG$40+$AG$41*_dat80[[#This Row],[DecDate]]+_dat80[[#This Row],[DecDate^2]]*$AG$42</f>
        <v>6.9255085177661551</v>
      </c>
      <c r="N125" s="2">
        <f>_dat80[[#This Row],[LOG(Expenditure 80)]]-_dat80[[#This Row],[Linear Trend LOG]]</f>
        <v>-2.8093605460258964E-2</v>
      </c>
      <c r="O125" s="2">
        <f t="shared" si="1"/>
        <v>-1.8746531851466131E-3</v>
      </c>
      <c r="P125" s="2">
        <f>_dat80[[#This Row],[Cycle 80]]+_dat80[[#This Row],[Linear Trend LOG]]</f>
        <v>6.9239238954037479</v>
      </c>
      <c r="Q125" s="2">
        <f>_dat80[[#This Row],[Detrend(Linear)]]-_dat80[[#This Row],[Cycle 80]]</f>
        <v>-2.621895227511235E-2</v>
      </c>
      <c r="R125" s="2">
        <f>AVERAGEIF(_dat80[Quarter],_dat80[[#This Row],[Quarter]],_dat80[High Frequency])</f>
        <v>-2.9622809170614002E-2</v>
      </c>
      <c r="S125" s="2">
        <f>_dat80[[#This Row],[S0]]-AVERAGE($R$2:$R$5)</f>
        <v>-2.9677627433763936E-2</v>
      </c>
    </row>
    <row r="126" spans="1:19" x14ac:dyDescent="0.35">
      <c r="A126">
        <v>1981</v>
      </c>
      <c r="B126" s="1">
        <f>DATE(_dat80[[#This Row],[Year]],_dat80[[#This Row],[Quarter]]*3-1,15)</f>
        <v>29632</v>
      </c>
      <c r="C126" s="2">
        <f>_dat80[[#This Row],[Year]]+(_dat80[[#This Row],[Quarter]]-1)/4+1/8</f>
        <v>1981.125</v>
      </c>
      <c r="D126" s="2">
        <f>_dat80[[#This Row],[DecDate]]^2</f>
        <v>3924856.265625</v>
      </c>
      <c r="E126">
        <v>1</v>
      </c>
      <c r="F126">
        <v>1057</v>
      </c>
      <c r="G126">
        <f>LN(_dat80[[#This Row],[Expenditure]])</f>
        <v>6.9631899858702377</v>
      </c>
      <c r="H126">
        <f>_dat80[[#This Row],[LOG(Expenditure 80)]]-G125</f>
        <v>6.5485042741602051E-2</v>
      </c>
      <c r="I126">
        <f>(1+(_dat80[[#This Row],[Expenditure]]-F125)/F125)^12-1</f>
        <v>1.1942065771199077</v>
      </c>
      <c r="J126" s="2">
        <f>$W$17+$W$18*_dat80[[#This Row],[DecDate]]</f>
        <v>1031.3648914128262</v>
      </c>
      <c r="K126" s="2">
        <f>$W$40+$W$41*_dat80[[#This Row],[DecDate]]+_dat80[[#This Row],[DecDate^2]]*$W$42</f>
        <v>1019.8571587728657</v>
      </c>
      <c r="L126" s="2">
        <f>$AG$17+_dat80[[#This Row],[DecDate]]*$AG$18</f>
        <v>6.9276139227612719</v>
      </c>
      <c r="M126" s="2">
        <f>$AG$40+$AG$41*_dat80[[#This Row],[DecDate]]+_dat80[[#This Row],[DecDate^2]]*$AG$42</f>
        <v>6.9273222551444231</v>
      </c>
      <c r="N126" s="2">
        <f>_dat80[[#This Row],[LOG(Expenditure 80)]]-_dat80[[#This Row],[Linear Trend LOG]]</f>
        <v>3.5576063108965883E-2</v>
      </c>
      <c r="O126" s="2">
        <f t="shared" si="1"/>
        <v>2.421833157502462E-3</v>
      </c>
      <c r="P126" s="2">
        <f>_dat80[[#This Row],[Cycle 80]]+_dat80[[#This Row],[Linear Trend LOG]]</f>
        <v>6.930035755918774</v>
      </c>
      <c r="Q126" s="2">
        <f>_dat80[[#This Row],[Detrend(Linear)]]-_dat80[[#This Row],[Cycle 80]]</f>
        <v>3.3154229951463422E-2</v>
      </c>
      <c r="R126" s="2">
        <f>AVERAGEIF(_dat80[Quarter],_dat80[[#This Row],[Quarter]],_dat80[High Frequency])</f>
        <v>3.3009459236017259E-2</v>
      </c>
      <c r="S126" s="2">
        <f>_dat80[[#This Row],[S0]]-AVERAGE($R$2:$R$5)</f>
        <v>3.2954640972867329E-2</v>
      </c>
    </row>
    <row r="127" spans="1:19" x14ac:dyDescent="0.35">
      <c r="A127">
        <v>1981</v>
      </c>
      <c r="B127" s="1">
        <f>DATE(_dat80[[#This Row],[Year]],_dat80[[#This Row],[Quarter]]*3-1,15)</f>
        <v>29721</v>
      </c>
      <c r="C127" s="2">
        <f>_dat80[[#This Row],[Year]]+(_dat80[[#This Row],[Quarter]]-1)/4+1/8</f>
        <v>1981.375</v>
      </c>
      <c r="D127" s="2">
        <f>_dat80[[#This Row],[DecDate]]^2</f>
        <v>3925846.890625</v>
      </c>
      <c r="E127">
        <v>2</v>
      </c>
      <c r="F127">
        <v>1004</v>
      </c>
      <c r="G127">
        <f>LN(_dat80[[#This Row],[Expenditure]])</f>
        <v>6.9117473002516743</v>
      </c>
      <c r="H127">
        <f>_dat80[[#This Row],[LOG(Expenditure 80)]]-G126</f>
        <v>-5.1442685618563466E-2</v>
      </c>
      <c r="I127">
        <f>(1+(_dat80[[#This Row],[Expenditure]]-F126)/F126)^12-1</f>
        <v>-0.46060774526787962</v>
      </c>
      <c r="J127" s="2">
        <f>$W$17+$W$18*_dat80[[#This Row],[DecDate]]</f>
        <v>1033.2891108974854</v>
      </c>
      <c r="K127" s="2">
        <f>$W$40+$W$41*_dat80[[#This Row],[DecDate]]+_dat80[[#This Row],[DecDate^2]]*$W$42</f>
        <v>1021.720386377594</v>
      </c>
      <c r="L127" s="2">
        <f>$AG$17+_dat80[[#This Row],[DecDate]]*$AG$18</f>
        <v>6.9294292969336473</v>
      </c>
      <c r="M127" s="2">
        <f>$AG$40+$AG$41*_dat80[[#This Row],[DecDate]]+_dat80[[#This Row],[DecDate^2]]*$AG$42</f>
        <v>6.9291360834556972</v>
      </c>
      <c r="N127" s="2">
        <f>_dat80[[#This Row],[LOG(Expenditure 80)]]-_dat80[[#This Row],[Linear Trend LOG]]</f>
        <v>-1.7681996681973011E-2</v>
      </c>
      <c r="O127" s="2">
        <f t="shared" si="1"/>
        <v>-6.6885833218824683E-3</v>
      </c>
      <c r="P127" s="2">
        <f>_dat80[[#This Row],[Cycle 80]]+_dat80[[#This Row],[Linear Trend LOG]]</f>
        <v>6.9227407136117645</v>
      </c>
      <c r="Q127" s="2">
        <f>_dat80[[#This Row],[Detrend(Linear)]]-_dat80[[#This Row],[Cycle 80]]</f>
        <v>-1.0993413360090543E-2</v>
      </c>
      <c r="R127" s="2">
        <f>AVERAGEIF(_dat80[Quarter],_dat80[[#This Row],[Quarter]],_dat80[High Frequency])</f>
        <v>-7.1142253495101353E-3</v>
      </c>
      <c r="S127" s="2">
        <f>_dat80[[#This Row],[S0]]-AVERAGE($R$2:$R$5)</f>
        <v>-7.1690436126600685E-3</v>
      </c>
    </row>
    <row r="128" spans="1:19" x14ac:dyDescent="0.35">
      <c r="A128">
        <v>1981</v>
      </c>
      <c r="B128" s="1">
        <f>DATE(_dat80[[#This Row],[Year]],_dat80[[#This Row],[Quarter]]*3-1,15)</f>
        <v>29813</v>
      </c>
      <c r="C128" s="2">
        <f>_dat80[[#This Row],[Year]]+(_dat80[[#This Row],[Quarter]]-1)/4+1/8</f>
        <v>1981.625</v>
      </c>
      <c r="D128" s="2">
        <f>_dat80[[#This Row],[DecDate]]^2</f>
        <v>3926837.640625</v>
      </c>
      <c r="E128">
        <v>3</v>
      </c>
      <c r="F128">
        <v>1030</v>
      </c>
      <c r="G128">
        <f>LN(_dat80[[#This Row],[Expenditure]])</f>
        <v>6.9373140812236818</v>
      </c>
      <c r="H128">
        <f>_dat80[[#This Row],[LOG(Expenditure 80)]]-G127</f>
        <v>2.5566780972007486E-2</v>
      </c>
      <c r="I128">
        <f>(1+(_dat80[[#This Row],[Expenditure]]-F127)/F127)^12-1</f>
        <v>0.35907099125096043</v>
      </c>
      <c r="J128" s="2">
        <f>$W$17+$W$18*_dat80[[#This Row],[DecDate]]</f>
        <v>1035.2133303821447</v>
      </c>
      <c r="K128" s="2">
        <f>$W$40+$W$41*_dat80[[#This Row],[DecDate]]+_dat80[[#This Row],[DecDate^2]]*$W$42</f>
        <v>1023.5872017399379</v>
      </c>
      <c r="L128" s="2">
        <f>$AG$17+_dat80[[#This Row],[DecDate]]*$AG$18</f>
        <v>6.9312446711060245</v>
      </c>
      <c r="M128" s="2">
        <f>$AG$40+$AG$41*_dat80[[#This Row],[DecDate]]+_dat80[[#This Row],[DecDate^2]]*$AG$42</f>
        <v>6.9309500026999773</v>
      </c>
      <c r="N128" s="2">
        <f>_dat80[[#This Row],[LOG(Expenditure 80)]]-_dat80[[#This Row],[Linear Trend LOG]]</f>
        <v>6.0694101176572701E-3</v>
      </c>
      <c r="O128" s="2">
        <f t="shared" si="1"/>
        <v>5.7251295484030962E-3</v>
      </c>
      <c r="P128" s="2">
        <f>_dat80[[#This Row],[Cycle 80]]+_dat80[[#This Row],[Linear Trend LOG]]</f>
        <v>6.9369698006544276</v>
      </c>
      <c r="Q128" s="2">
        <f>_dat80[[#This Row],[Detrend(Linear)]]-_dat80[[#This Row],[Cycle 80]]</f>
        <v>3.4428056925417394E-4</v>
      </c>
      <c r="R128" s="2">
        <f>AVERAGEIF(_dat80[Quarter],_dat80[[#This Row],[Quarter]],_dat80[High Frequency])</f>
        <v>3.946848336706609E-3</v>
      </c>
      <c r="S128" s="2">
        <f>_dat80[[#This Row],[S0]]-AVERAGE($R$2:$R$5)</f>
        <v>3.8920300735566758E-3</v>
      </c>
    </row>
    <row r="129" spans="1:19" x14ac:dyDescent="0.35">
      <c r="A129">
        <v>1981</v>
      </c>
      <c r="B129" s="1">
        <f>DATE(_dat80[[#This Row],[Year]],_dat80[[#This Row],[Quarter]]*3-1,15)</f>
        <v>29905</v>
      </c>
      <c r="C129" s="2">
        <f>_dat80[[#This Row],[Year]]+(_dat80[[#This Row],[Quarter]]-1)/4+1/8</f>
        <v>1981.875</v>
      </c>
      <c r="D129" s="2">
        <f>_dat80[[#This Row],[DecDate]]^2</f>
        <v>3927828.515625</v>
      </c>
      <c r="E129">
        <v>4</v>
      </c>
      <c r="F129">
        <v>996</v>
      </c>
      <c r="G129">
        <f>LN(_dat80[[#This Row],[Expenditure]])</f>
        <v>6.9037472575845982</v>
      </c>
      <c r="H129">
        <f>_dat80[[#This Row],[LOG(Expenditure 80)]]-G128</f>
        <v>-3.3566823639083587E-2</v>
      </c>
      <c r="I129">
        <f>(1+(_dat80[[#This Row],[Expenditure]]-F128)/F128)^12-1</f>
        <v>-0.33155548401884005</v>
      </c>
      <c r="J129" s="2">
        <f>$W$17+$W$18*_dat80[[#This Row],[DecDate]]</f>
        <v>1037.1375498668058</v>
      </c>
      <c r="K129" s="2">
        <f>$W$40+$W$41*_dat80[[#This Row],[DecDate]]+_dat80[[#This Row],[DecDate^2]]*$W$42</f>
        <v>1025.4576048599702</v>
      </c>
      <c r="L129" s="2">
        <f>$AG$17+_dat80[[#This Row],[DecDate]]*$AG$18</f>
        <v>6.9330600452784017</v>
      </c>
      <c r="M129" s="2">
        <f>$AG$40+$AG$41*_dat80[[#This Row],[DecDate]]+_dat80[[#This Row],[DecDate^2]]*$AG$42</f>
        <v>6.9327640128772625</v>
      </c>
      <c r="N129" s="2">
        <f>_dat80[[#This Row],[LOG(Expenditure 80)]]-_dat80[[#This Row],[Linear Trend LOG]]</f>
        <v>-2.9312787693803521E-2</v>
      </c>
      <c r="O129" s="2">
        <f t="shared" si="1"/>
        <v>-2.6292886076957345E-3</v>
      </c>
      <c r="P129" s="2">
        <f>_dat80[[#This Row],[Cycle 80]]+_dat80[[#This Row],[Linear Trend LOG]]</f>
        <v>6.930430756670706</v>
      </c>
      <c r="Q129" s="2">
        <f>_dat80[[#This Row],[Detrend(Linear)]]-_dat80[[#This Row],[Cycle 80]]</f>
        <v>-2.6683499086107787E-2</v>
      </c>
      <c r="R129" s="2">
        <f>AVERAGEIF(_dat80[Quarter],_dat80[[#This Row],[Quarter]],_dat80[High Frequency])</f>
        <v>-2.9622809170614002E-2</v>
      </c>
      <c r="S129" s="2">
        <f>_dat80[[#This Row],[S0]]-AVERAGE($R$2:$R$5)</f>
        <v>-2.9677627433763936E-2</v>
      </c>
    </row>
    <row r="130" spans="1:19" x14ac:dyDescent="0.35">
      <c r="A130">
        <v>1982</v>
      </c>
      <c r="B130" s="1">
        <f>DATE(_dat80[[#This Row],[Year]],_dat80[[#This Row],[Quarter]]*3-1,15)</f>
        <v>29997</v>
      </c>
      <c r="C130" s="2">
        <f>_dat80[[#This Row],[Year]]+(_dat80[[#This Row],[Quarter]]-1)/4+1/8</f>
        <v>1982.125</v>
      </c>
      <c r="D130" s="2">
        <f>_dat80[[#This Row],[DecDate]]^2</f>
        <v>3928819.515625</v>
      </c>
      <c r="E130">
        <v>1</v>
      </c>
      <c r="F130">
        <v>1063</v>
      </c>
      <c r="G130">
        <f>LN(_dat80[[#This Row],[Expenditure]])</f>
        <v>6.9688503783419478</v>
      </c>
      <c r="H130">
        <f>_dat80[[#This Row],[LOG(Expenditure 80)]]-G129</f>
        <v>6.5103120757349586E-2</v>
      </c>
      <c r="I130">
        <f>(1+(_dat80[[#This Row],[Expenditure]]-F129)/F129)^12-1</f>
        <v>1.1841733972759116</v>
      </c>
      <c r="J130" s="2">
        <f>$W$17+$W$18*_dat80[[#This Row],[DecDate]]</f>
        <v>1039.061769351465</v>
      </c>
      <c r="K130" s="2">
        <f>$W$40+$W$41*_dat80[[#This Row],[DecDate]]+_dat80[[#This Row],[DecDate^2]]*$W$42</f>
        <v>1027.3315957376326</v>
      </c>
      <c r="L130" s="2">
        <f>$AG$17+_dat80[[#This Row],[DecDate]]*$AG$18</f>
        <v>6.9348754194507789</v>
      </c>
      <c r="M130" s="2">
        <f>$AG$40+$AG$41*_dat80[[#This Row],[DecDate]]+_dat80[[#This Row],[DecDate^2]]*$AG$42</f>
        <v>6.9345781139875555</v>
      </c>
      <c r="N130" s="2">
        <f>_dat80[[#This Row],[LOG(Expenditure 80)]]-_dat80[[#This Row],[Linear Trend LOG]]</f>
        <v>3.397495889116886E-2</v>
      </c>
      <c r="O130" s="2">
        <f t="shared" si="1"/>
        <v>4.3243988488519845E-3</v>
      </c>
      <c r="P130" s="2">
        <f>_dat80[[#This Row],[Cycle 80]]+_dat80[[#This Row],[Linear Trend LOG]]</f>
        <v>6.9391998182996311</v>
      </c>
      <c r="Q130" s="2">
        <f>_dat80[[#This Row],[Detrend(Linear)]]-_dat80[[#This Row],[Cycle 80]]</f>
        <v>2.9650560042316875E-2</v>
      </c>
      <c r="R130" s="2">
        <f>AVERAGEIF(_dat80[Quarter],_dat80[[#This Row],[Quarter]],_dat80[High Frequency])</f>
        <v>3.3009459236017259E-2</v>
      </c>
      <c r="S130" s="2">
        <f>_dat80[[#This Row],[S0]]-AVERAGE($R$2:$R$5)</f>
        <v>3.2954640972867329E-2</v>
      </c>
    </row>
    <row r="131" spans="1:19" x14ac:dyDescent="0.35">
      <c r="A131">
        <v>1982</v>
      </c>
      <c r="B131" s="1">
        <f>DATE(_dat80[[#This Row],[Year]],_dat80[[#This Row],[Quarter]]*3-1,15)</f>
        <v>30086</v>
      </c>
      <c r="C131" s="2">
        <f>_dat80[[#This Row],[Year]]+(_dat80[[#This Row],[Quarter]]-1)/4+1/8</f>
        <v>1982.375</v>
      </c>
      <c r="D131" s="2">
        <f>_dat80[[#This Row],[DecDate]]^2</f>
        <v>3929810.640625</v>
      </c>
      <c r="E131">
        <v>2</v>
      </c>
      <c r="F131">
        <v>1023</v>
      </c>
      <c r="G131">
        <f>LN(_dat80[[#This Row],[Expenditure]])</f>
        <v>6.9304947659516261</v>
      </c>
      <c r="H131">
        <f>_dat80[[#This Row],[LOG(Expenditure 80)]]-G130</f>
        <v>-3.8355612390321703E-2</v>
      </c>
      <c r="I131">
        <f>(1+(_dat80[[#This Row],[Expenditure]]-F130)/F130)^12-1</f>
        <v>-0.36888510478625203</v>
      </c>
      <c r="J131" s="2">
        <f>$W$17+$W$18*_dat80[[#This Row],[DecDate]]</f>
        <v>1040.9859888361243</v>
      </c>
      <c r="K131" s="2">
        <f>$W$40+$W$41*_dat80[[#This Row],[DecDate]]+_dat80[[#This Row],[DecDate^2]]*$W$42</f>
        <v>1029.2091743729397</v>
      </c>
      <c r="L131" s="2">
        <f>$AG$17+_dat80[[#This Row],[DecDate]]*$AG$18</f>
        <v>6.9366907936231543</v>
      </c>
      <c r="M131" s="2">
        <f>$AG$40+$AG$41*_dat80[[#This Row],[DecDate]]+_dat80[[#This Row],[DecDate^2]]*$AG$42</f>
        <v>6.9363923060308537</v>
      </c>
      <c r="N131" s="2">
        <f>_dat80[[#This Row],[LOG(Expenditure 80)]]-_dat80[[#This Row],[Linear Trend LOG]]</f>
        <v>-6.1960276715282703E-3</v>
      </c>
      <c r="O131" s="2">
        <f t="shared" si="1"/>
        <v>-3.6028358385504335E-3</v>
      </c>
      <c r="P131" s="2">
        <f>_dat80[[#This Row],[Cycle 80]]+_dat80[[#This Row],[Linear Trend LOG]]</f>
        <v>6.9330879577846041</v>
      </c>
      <c r="Q131" s="2">
        <f>_dat80[[#This Row],[Detrend(Linear)]]-_dat80[[#This Row],[Cycle 80]]</f>
        <v>-2.5931918329778368E-3</v>
      </c>
      <c r="R131" s="2">
        <f>AVERAGEIF(_dat80[Quarter],_dat80[[#This Row],[Quarter]],_dat80[High Frequency])</f>
        <v>-7.1142253495101353E-3</v>
      </c>
      <c r="S131" s="2">
        <f>_dat80[[#This Row],[S0]]-AVERAGE($R$2:$R$5)</f>
        <v>-7.1690436126600685E-3</v>
      </c>
    </row>
    <row r="132" spans="1:19" x14ac:dyDescent="0.35">
      <c r="A132">
        <v>1982</v>
      </c>
      <c r="B132" s="1">
        <f>DATE(_dat80[[#This Row],[Year]],_dat80[[#This Row],[Quarter]]*3-1,15)</f>
        <v>30178</v>
      </c>
      <c r="C132" s="2">
        <f>_dat80[[#This Row],[Year]]+(_dat80[[#This Row],[Quarter]]-1)/4+1/8</f>
        <v>1982.625</v>
      </c>
      <c r="D132" s="2">
        <f>_dat80[[#This Row],[DecDate]]^2</f>
        <v>3930801.890625</v>
      </c>
      <c r="E132">
        <v>3</v>
      </c>
      <c r="F132">
        <v>1049</v>
      </c>
      <c r="G132">
        <f>LN(_dat80[[#This Row],[Expenditure]])</f>
        <v>6.9555926083962971</v>
      </c>
      <c r="H132">
        <f>_dat80[[#This Row],[LOG(Expenditure 80)]]-G131</f>
        <v>2.5097842444671059E-2</v>
      </c>
      <c r="I132">
        <f>(1+(_dat80[[#This Row],[Expenditure]]-F131)/F131)^12-1</f>
        <v>0.35144462018084255</v>
      </c>
      <c r="J132" s="2">
        <f>$W$17+$W$18*_dat80[[#This Row],[DecDate]]</f>
        <v>1042.9102083207836</v>
      </c>
      <c r="K132" s="2">
        <f>$W$40+$W$41*_dat80[[#This Row],[DecDate]]+_dat80[[#This Row],[DecDate^2]]*$W$42</f>
        <v>1031.0903407658479</v>
      </c>
      <c r="L132" s="2">
        <f>$AG$17+_dat80[[#This Row],[DecDate]]*$AG$18</f>
        <v>6.9385061677955315</v>
      </c>
      <c r="M132" s="2">
        <f>$AG$40+$AG$41*_dat80[[#This Row],[DecDate]]+_dat80[[#This Row],[DecDate^2]]*$AG$42</f>
        <v>6.9382065890071587</v>
      </c>
      <c r="N132" s="2">
        <f>_dat80[[#This Row],[LOG(Expenditure 80)]]-_dat80[[#This Row],[Linear Trend LOG]]</f>
        <v>1.7086440600765584E-2</v>
      </c>
      <c r="O132" s="2">
        <f t="shared" si="1"/>
        <v>8.9151239633437733E-3</v>
      </c>
      <c r="P132" s="2">
        <f>_dat80[[#This Row],[Cycle 80]]+_dat80[[#This Row],[Linear Trend LOG]]</f>
        <v>6.9474212917588751</v>
      </c>
      <c r="Q132" s="2">
        <f>_dat80[[#This Row],[Detrend(Linear)]]-_dat80[[#This Row],[Cycle 80]]</f>
        <v>8.1713166374218112E-3</v>
      </c>
      <c r="R132" s="2">
        <f>AVERAGEIF(_dat80[Quarter],_dat80[[#This Row],[Quarter]],_dat80[High Frequency])</f>
        <v>3.946848336706609E-3</v>
      </c>
      <c r="S132" s="2">
        <f>_dat80[[#This Row],[S0]]-AVERAGE($R$2:$R$5)</f>
        <v>3.8920300735566758E-3</v>
      </c>
    </row>
    <row r="133" spans="1:19" x14ac:dyDescent="0.35">
      <c r="A133">
        <v>1982</v>
      </c>
      <c r="B133" s="1">
        <f>DATE(_dat80[[#This Row],[Year]],_dat80[[#This Row],[Quarter]]*3-1,15)</f>
        <v>30270</v>
      </c>
      <c r="C133" s="2">
        <f>_dat80[[#This Row],[Year]]+(_dat80[[#This Row],[Quarter]]-1)/4+1/8</f>
        <v>1982.875</v>
      </c>
      <c r="D133" s="2">
        <f>_dat80[[#This Row],[DecDate]]^2</f>
        <v>3931793.265625</v>
      </c>
      <c r="E133">
        <v>4</v>
      </c>
      <c r="F133">
        <v>999</v>
      </c>
      <c r="G133">
        <f>LN(_dat80[[#This Row],[Expenditure]])</f>
        <v>6.9067547786485539</v>
      </c>
      <c r="H133">
        <f>_dat80[[#This Row],[LOG(Expenditure 80)]]-G132</f>
        <v>-4.88378297477432E-2</v>
      </c>
      <c r="I133">
        <f>(1+(_dat80[[#This Row],[Expenditure]]-F132)/F132)^12-1</f>
        <v>-0.4434809944805741</v>
      </c>
      <c r="J133" s="2">
        <f>$W$17+$W$18*_dat80[[#This Row],[DecDate]]</f>
        <v>1044.8344278054428</v>
      </c>
      <c r="K133" s="2">
        <f>$W$40+$W$41*_dat80[[#This Row],[DecDate]]+_dat80[[#This Row],[DecDate^2]]*$W$42</f>
        <v>1032.9750949164445</v>
      </c>
      <c r="L133" s="2">
        <f>$AG$17+_dat80[[#This Row],[DecDate]]*$AG$18</f>
        <v>6.9403215419679087</v>
      </c>
      <c r="M133" s="2">
        <f>$AG$40+$AG$41*_dat80[[#This Row],[DecDate]]+_dat80[[#This Row],[DecDate^2]]*$AG$42</f>
        <v>6.9400209629164689</v>
      </c>
      <c r="N133" s="2">
        <f>_dat80[[#This Row],[LOG(Expenditure 80)]]-_dat80[[#This Row],[Linear Trend LOG]]</f>
        <v>-3.356676331935482E-2</v>
      </c>
      <c r="O133" s="2">
        <f t="shared" si="1"/>
        <v>-9.6276224448921255E-4</v>
      </c>
      <c r="P133" s="2">
        <f>_dat80[[#This Row],[Cycle 80]]+_dat80[[#This Row],[Linear Trend LOG]]</f>
        <v>6.9393587797234195</v>
      </c>
      <c r="Q133" s="2">
        <f>_dat80[[#This Row],[Detrend(Linear)]]-_dat80[[#This Row],[Cycle 80]]</f>
        <v>-3.2604001074865607E-2</v>
      </c>
      <c r="R133" s="2">
        <f>AVERAGEIF(_dat80[Quarter],_dat80[[#This Row],[Quarter]],_dat80[High Frequency])</f>
        <v>-2.9622809170614002E-2</v>
      </c>
      <c r="S133" s="2">
        <f>_dat80[[#This Row],[S0]]-AVERAGE($R$2:$R$5)</f>
        <v>-2.9677627433763936E-2</v>
      </c>
    </row>
    <row r="134" spans="1:19" x14ac:dyDescent="0.35">
      <c r="A134">
        <v>1983</v>
      </c>
      <c r="B134" s="1">
        <f>DATE(_dat80[[#This Row],[Year]],_dat80[[#This Row],[Quarter]]*3-1,15)</f>
        <v>30362</v>
      </c>
      <c r="C134" s="2">
        <f>_dat80[[#This Row],[Year]]+(_dat80[[#This Row],[Quarter]]-1)/4+1/8</f>
        <v>1983.125</v>
      </c>
      <c r="D134" s="2">
        <f>_dat80[[#This Row],[DecDate]]^2</f>
        <v>3932784.765625</v>
      </c>
      <c r="E134">
        <v>1</v>
      </c>
      <c r="F134">
        <v>1070</v>
      </c>
      <c r="G134">
        <f>LN(_dat80[[#This Row],[Expenditure]])</f>
        <v>6.9754139274559517</v>
      </c>
      <c r="H134">
        <f>_dat80[[#This Row],[LOG(Expenditure 80)]]-G133</f>
        <v>6.8659148807397763E-2</v>
      </c>
      <c r="I134">
        <f>(1+(_dat80[[#This Row],[Expenditure]]-F133)/F133)^12-1</f>
        <v>1.2793943818541389</v>
      </c>
      <c r="J134" s="2">
        <f>$W$17+$W$18*_dat80[[#This Row],[DecDate]]</f>
        <v>1046.7586472901021</v>
      </c>
      <c r="K134" s="2">
        <f>$W$40+$W$41*_dat80[[#This Row],[DecDate]]+_dat80[[#This Row],[DecDate^2]]*$W$42</f>
        <v>1034.8634368246858</v>
      </c>
      <c r="L134" s="2">
        <f>$AG$17+_dat80[[#This Row],[DecDate]]*$AG$18</f>
        <v>6.9421369161402842</v>
      </c>
      <c r="M134" s="2">
        <f>$AG$40+$AG$41*_dat80[[#This Row],[DecDate]]+_dat80[[#This Row],[DecDate^2]]*$AG$42</f>
        <v>6.9418354277587841</v>
      </c>
      <c r="N134" s="2">
        <f>_dat80[[#This Row],[LOG(Expenditure 80)]]-_dat80[[#This Row],[Linear Trend LOG]]</f>
        <v>3.3277011315667515E-2</v>
      </c>
      <c r="O134" s="2">
        <f t="shared" ref="O134:O197" si="2">AVERAGE(N132:N136)</f>
        <v>3.5716032460500814E-3</v>
      </c>
      <c r="P134" s="2">
        <f>_dat80[[#This Row],[Cycle 80]]+_dat80[[#This Row],[Linear Trend LOG]]</f>
        <v>6.9457085193863346</v>
      </c>
      <c r="Q134" s="2">
        <f>_dat80[[#This Row],[Detrend(Linear)]]-_dat80[[#This Row],[Cycle 80]]</f>
        <v>2.9705408069617432E-2</v>
      </c>
      <c r="R134" s="2">
        <f>AVERAGEIF(_dat80[Quarter],_dat80[[#This Row],[Quarter]],_dat80[High Frequency])</f>
        <v>3.3009459236017259E-2</v>
      </c>
      <c r="S134" s="2">
        <f>_dat80[[#This Row],[S0]]-AVERAGE($R$2:$R$5)</f>
        <v>3.2954640972867329E-2</v>
      </c>
    </row>
    <row r="135" spans="1:19" x14ac:dyDescent="0.35">
      <c r="A135">
        <v>1983</v>
      </c>
      <c r="B135" s="1">
        <f>DATE(_dat80[[#This Row],[Year]],_dat80[[#This Row],[Quarter]]*3-1,15)</f>
        <v>30451</v>
      </c>
      <c r="C135" s="2">
        <f>_dat80[[#This Row],[Year]]+(_dat80[[#This Row],[Quarter]]-1)/4+1/8</f>
        <v>1983.375</v>
      </c>
      <c r="D135" s="2">
        <f>_dat80[[#This Row],[DecDate]]^2</f>
        <v>3933776.390625</v>
      </c>
      <c r="E135">
        <v>2</v>
      </c>
      <c r="F135">
        <v>1021</v>
      </c>
      <c r="G135">
        <f>LN(_dat80[[#This Row],[Expenditure]])</f>
        <v>6.9285378181646653</v>
      </c>
      <c r="H135">
        <f>_dat80[[#This Row],[LOG(Expenditure 80)]]-G134</f>
        <v>-4.6876109291286383E-2</v>
      </c>
      <c r="I135">
        <f>(1+(_dat80[[#This Row],[Expenditure]]-F134)/F134)^12-1</f>
        <v>-0.43022475988006625</v>
      </c>
      <c r="J135" s="2">
        <f>$W$17+$W$18*_dat80[[#This Row],[DecDate]]</f>
        <v>1048.6828667747614</v>
      </c>
      <c r="K135" s="2">
        <f>$W$40+$W$41*_dat80[[#This Row],[DecDate]]+_dat80[[#This Row],[DecDate^2]]*$W$42</f>
        <v>1036.7553664905572</v>
      </c>
      <c r="L135" s="2">
        <f>$AG$17+_dat80[[#This Row],[DecDate]]*$AG$18</f>
        <v>6.9439522903126614</v>
      </c>
      <c r="M135" s="2">
        <f>$AG$40+$AG$41*_dat80[[#This Row],[DecDate]]+_dat80[[#This Row],[DecDate^2]]*$AG$42</f>
        <v>6.9436499835341072</v>
      </c>
      <c r="N135" s="2">
        <f>_dat80[[#This Row],[LOG(Expenditure 80)]]-_dat80[[#This Row],[Linear Trend LOG]]</f>
        <v>-1.5414472147996072E-2</v>
      </c>
      <c r="O135" s="2">
        <f t="shared" si="2"/>
        <v>-4.6365669779007135E-3</v>
      </c>
      <c r="P135" s="2">
        <f>_dat80[[#This Row],[Cycle 80]]+_dat80[[#This Row],[Linear Trend LOG]]</f>
        <v>6.9393157233347607</v>
      </c>
      <c r="Q135" s="2">
        <f>_dat80[[#This Row],[Detrend(Linear)]]-_dat80[[#This Row],[Cycle 80]]</f>
        <v>-1.0777905170095359E-2</v>
      </c>
      <c r="R135" s="2">
        <f>AVERAGEIF(_dat80[Quarter],_dat80[[#This Row],[Quarter]],_dat80[High Frequency])</f>
        <v>-7.1142253495101353E-3</v>
      </c>
      <c r="S135" s="2">
        <f>_dat80[[#This Row],[S0]]-AVERAGE($R$2:$R$5)</f>
        <v>-7.1690436126600685E-3</v>
      </c>
    </row>
    <row r="136" spans="1:19" x14ac:dyDescent="0.35">
      <c r="A136">
        <v>1983</v>
      </c>
      <c r="B136" s="1">
        <f>DATE(_dat80[[#This Row],[Year]],_dat80[[#This Row],[Quarter]]*3-1,15)</f>
        <v>30543</v>
      </c>
      <c r="C136" s="2">
        <f>_dat80[[#This Row],[Year]]+(_dat80[[#This Row],[Quarter]]-1)/4+1/8</f>
        <v>1983.625</v>
      </c>
      <c r="D136" s="2">
        <f>_dat80[[#This Row],[DecDate]]^2</f>
        <v>3934768.140625</v>
      </c>
      <c r="E136">
        <v>3</v>
      </c>
      <c r="F136">
        <v>1056</v>
      </c>
      <c r="G136">
        <f>LN(_dat80[[#This Row],[Expenditure]])</f>
        <v>6.9622434642662068</v>
      </c>
      <c r="H136">
        <f>_dat80[[#This Row],[LOG(Expenditure 80)]]-G135</f>
        <v>3.3705646101541475E-2</v>
      </c>
      <c r="I136">
        <f>(1+(_dat80[[#This Row],[Expenditure]]-F135)/F135)^12-1</f>
        <v>0.49850471345511704</v>
      </c>
      <c r="J136" s="2">
        <f>$W$17+$W$18*_dat80[[#This Row],[DecDate]]</f>
        <v>1050.6070862594206</v>
      </c>
      <c r="K136" s="2">
        <f>$W$40+$W$41*_dat80[[#This Row],[DecDate]]+_dat80[[#This Row],[DecDate^2]]*$W$42</f>
        <v>1038.6508839140879</v>
      </c>
      <c r="L136" s="2">
        <f>$AG$17+_dat80[[#This Row],[DecDate]]*$AG$18</f>
        <v>6.9457676644850386</v>
      </c>
      <c r="M136" s="2">
        <f>$AG$40+$AG$41*_dat80[[#This Row],[DecDate]]+_dat80[[#This Row],[DecDate^2]]*$AG$42</f>
        <v>6.9454646302424354</v>
      </c>
      <c r="N136" s="2">
        <f>_dat80[[#This Row],[LOG(Expenditure 80)]]-_dat80[[#This Row],[Linear Trend LOG]]</f>
        <v>1.6475799781168199E-2</v>
      </c>
      <c r="O136" s="2">
        <f t="shared" si="2"/>
        <v>9.879739519930375E-3</v>
      </c>
      <c r="P136" s="2">
        <f>_dat80[[#This Row],[Cycle 80]]+_dat80[[#This Row],[Linear Trend LOG]]</f>
        <v>6.9556474040049689</v>
      </c>
      <c r="Q136" s="2">
        <f>_dat80[[#This Row],[Detrend(Linear)]]-_dat80[[#This Row],[Cycle 80]]</f>
        <v>6.5960602612378239E-3</v>
      </c>
      <c r="R136" s="2">
        <f>AVERAGEIF(_dat80[Quarter],_dat80[[#This Row],[Quarter]],_dat80[High Frequency])</f>
        <v>3.946848336706609E-3</v>
      </c>
      <c r="S136" s="2">
        <f>_dat80[[#This Row],[S0]]-AVERAGE($R$2:$R$5)</f>
        <v>3.8920300735566758E-3</v>
      </c>
    </row>
    <row r="137" spans="1:19" x14ac:dyDescent="0.35">
      <c r="A137">
        <v>1983</v>
      </c>
      <c r="B137" s="1">
        <f>DATE(_dat80[[#This Row],[Year]],_dat80[[#This Row],[Quarter]]*3-1,15)</f>
        <v>30635</v>
      </c>
      <c r="C137" s="2">
        <f>_dat80[[#This Row],[Year]]+(_dat80[[#This Row],[Quarter]]-1)/4+1/8</f>
        <v>1983.875</v>
      </c>
      <c r="D137" s="2">
        <f>_dat80[[#This Row],[DecDate]]^2</f>
        <v>3935760.015625</v>
      </c>
      <c r="E137">
        <v>4</v>
      </c>
      <c r="F137">
        <v>1016</v>
      </c>
      <c r="G137">
        <f>LN(_dat80[[#This Row],[Expenditure]])</f>
        <v>6.9236286281384274</v>
      </c>
      <c r="H137">
        <f>_dat80[[#This Row],[LOG(Expenditure 80)]]-G136</f>
        <v>-3.8614836127779384E-2</v>
      </c>
      <c r="I137">
        <f>(1+(_dat80[[#This Row],[Expenditure]]-F136)/F136)^12-1</f>
        <v>-0.37084525404519109</v>
      </c>
      <c r="J137" s="2">
        <f>$W$17+$W$18*_dat80[[#This Row],[DecDate]]</f>
        <v>1052.5313057440817</v>
      </c>
      <c r="K137" s="2">
        <f>$W$40+$W$41*_dat80[[#This Row],[DecDate]]+_dat80[[#This Row],[DecDate^2]]*$W$42</f>
        <v>1040.5499890952196</v>
      </c>
      <c r="L137" s="2">
        <f>$AG$17+_dat80[[#This Row],[DecDate]]*$AG$18</f>
        <v>6.9475830386574158</v>
      </c>
      <c r="M137" s="2">
        <f>$AG$40+$AG$41*_dat80[[#This Row],[DecDate]]+_dat80[[#This Row],[DecDate^2]]*$AG$42</f>
        <v>6.9472793678837705</v>
      </c>
      <c r="N137" s="2">
        <f>_dat80[[#This Row],[LOG(Expenditure 80)]]-_dat80[[#This Row],[Linear Trend LOG]]</f>
        <v>-2.3954410518988389E-2</v>
      </c>
      <c r="O137" s="2">
        <f t="shared" si="2"/>
        <v>5.5669059385188294E-5</v>
      </c>
      <c r="P137" s="2">
        <f>_dat80[[#This Row],[Cycle 80]]+_dat80[[#This Row],[Linear Trend LOG]]</f>
        <v>6.9476387077168011</v>
      </c>
      <c r="Q137" s="2">
        <f>_dat80[[#This Row],[Detrend(Linear)]]-_dat80[[#This Row],[Cycle 80]]</f>
        <v>-2.4010079578373578E-2</v>
      </c>
      <c r="R137" s="2">
        <f>AVERAGEIF(_dat80[Quarter],_dat80[[#This Row],[Quarter]],_dat80[High Frequency])</f>
        <v>-2.9622809170614002E-2</v>
      </c>
      <c r="S137" s="2">
        <f>_dat80[[#This Row],[S0]]-AVERAGE($R$2:$R$5)</f>
        <v>-2.9677627433763936E-2</v>
      </c>
    </row>
    <row r="138" spans="1:19" x14ac:dyDescent="0.35">
      <c r="A138">
        <v>1984</v>
      </c>
      <c r="B138" s="1">
        <f>DATE(_dat80[[#This Row],[Year]],_dat80[[#This Row],[Quarter]]*3-1,15)</f>
        <v>30727</v>
      </c>
      <c r="C138" s="2">
        <f>_dat80[[#This Row],[Year]]+(_dat80[[#This Row],[Quarter]]-1)/4+1/8</f>
        <v>1984.125</v>
      </c>
      <c r="D138" s="2">
        <f>_dat80[[#This Row],[DecDate]]^2</f>
        <v>3936752.015625</v>
      </c>
      <c r="E138">
        <v>1</v>
      </c>
      <c r="F138">
        <v>1084</v>
      </c>
      <c r="G138">
        <f>LN(_dat80[[#This Row],[Expenditure]])</f>
        <v>6.9884131819995918</v>
      </c>
      <c r="H138">
        <f>_dat80[[#This Row],[LOG(Expenditure 80)]]-G137</f>
        <v>6.478455386116444E-2</v>
      </c>
      <c r="I138">
        <f>(1+(_dat80[[#This Row],[Expenditure]]-F137)/F137)^12-1</f>
        <v>1.1758396724391953</v>
      </c>
      <c r="J138" s="2">
        <f>$W$17+$W$18*_dat80[[#This Row],[DecDate]]</f>
        <v>1054.455525228741</v>
      </c>
      <c r="K138" s="2">
        <f>$W$40+$W$41*_dat80[[#This Row],[DecDate]]+_dat80[[#This Row],[DecDate^2]]*$W$42</f>
        <v>1042.4526820340252</v>
      </c>
      <c r="L138" s="2">
        <f>$AG$17+_dat80[[#This Row],[DecDate]]*$AG$18</f>
        <v>6.9493984128297912</v>
      </c>
      <c r="M138" s="2">
        <f>$AG$40+$AG$41*_dat80[[#This Row],[DecDate]]+_dat80[[#This Row],[DecDate^2]]*$AG$42</f>
        <v>6.9490941964581108</v>
      </c>
      <c r="N138" s="2">
        <f>_dat80[[#This Row],[LOG(Expenditure 80)]]-_dat80[[#This Row],[Linear Trend LOG]]</f>
        <v>3.9014769169800623E-2</v>
      </c>
      <c r="O138" s="2">
        <f t="shared" si="2"/>
        <v>3.2695734281826816E-3</v>
      </c>
      <c r="P138" s="2">
        <f>_dat80[[#This Row],[Cycle 80]]+_dat80[[#This Row],[Linear Trend LOG]]</f>
        <v>6.9526679862579739</v>
      </c>
      <c r="Q138" s="2">
        <f>_dat80[[#This Row],[Detrend(Linear)]]-_dat80[[#This Row],[Cycle 80]]</f>
        <v>3.5745195741617941E-2</v>
      </c>
      <c r="R138" s="2">
        <f>AVERAGEIF(_dat80[Quarter],_dat80[[#This Row],[Quarter]],_dat80[High Frequency])</f>
        <v>3.3009459236017259E-2</v>
      </c>
      <c r="S138" s="2">
        <f>_dat80[[#This Row],[S0]]-AVERAGE($R$2:$R$5)</f>
        <v>3.2954640972867329E-2</v>
      </c>
    </row>
    <row r="139" spans="1:19" x14ac:dyDescent="0.35">
      <c r="A139">
        <v>1984</v>
      </c>
      <c r="B139" s="1">
        <f>DATE(_dat80[[#This Row],[Year]],_dat80[[#This Row],[Quarter]]*3-1,15)</f>
        <v>30817</v>
      </c>
      <c r="C139" s="2">
        <f>_dat80[[#This Row],[Year]]+(_dat80[[#This Row],[Quarter]]-1)/4+1/8</f>
        <v>1984.375</v>
      </c>
      <c r="D139" s="2">
        <f>_dat80[[#This Row],[DecDate]]^2</f>
        <v>3937744.140625</v>
      </c>
      <c r="E139">
        <v>2</v>
      </c>
      <c r="F139">
        <v>1028</v>
      </c>
      <c r="G139">
        <f>LN(_dat80[[#This Row],[Expenditure]])</f>
        <v>6.93537044601511</v>
      </c>
      <c r="H139">
        <f>_dat80[[#This Row],[LOG(Expenditure 80)]]-G138</f>
        <v>-5.3042735984481837E-2</v>
      </c>
      <c r="I139">
        <f>(1+(_dat80[[#This Row],[Expenditure]]-F138)/F138)^12-1</f>
        <v>-0.47086560883299156</v>
      </c>
      <c r="J139" s="2">
        <f>$W$17+$W$18*_dat80[[#This Row],[DecDate]]</f>
        <v>1056.3797447134002</v>
      </c>
      <c r="K139" s="2">
        <f>$W$40+$W$41*_dat80[[#This Row],[DecDate]]+_dat80[[#This Row],[DecDate^2]]*$W$42</f>
        <v>1044.3589627304755</v>
      </c>
      <c r="L139" s="2">
        <f>$AG$17+_dat80[[#This Row],[DecDate]]*$AG$18</f>
        <v>6.9512137870021684</v>
      </c>
      <c r="M139" s="2">
        <f>$AG$40+$AG$41*_dat80[[#This Row],[DecDate]]+_dat80[[#This Row],[DecDate^2]]*$AG$42</f>
        <v>6.9509091159654579</v>
      </c>
      <c r="N139" s="2">
        <f>_dat80[[#This Row],[LOG(Expenditure 80)]]-_dat80[[#This Row],[Linear Trend LOG]]</f>
        <v>-1.5843340987058419E-2</v>
      </c>
      <c r="O139" s="2">
        <f t="shared" si="2"/>
        <v>-6.2687679697496891E-3</v>
      </c>
      <c r="P139" s="2">
        <f>_dat80[[#This Row],[Cycle 80]]+_dat80[[#This Row],[Linear Trend LOG]]</f>
        <v>6.9449450190324189</v>
      </c>
      <c r="Q139" s="2">
        <f>_dat80[[#This Row],[Detrend(Linear)]]-_dat80[[#This Row],[Cycle 80]]</f>
        <v>-9.5745730173087303E-3</v>
      </c>
      <c r="R139" s="2">
        <f>AVERAGEIF(_dat80[Quarter],_dat80[[#This Row],[Quarter]],_dat80[High Frequency])</f>
        <v>-7.1142253495101353E-3</v>
      </c>
      <c r="S139" s="2">
        <f>_dat80[[#This Row],[S0]]-AVERAGE($R$2:$R$5)</f>
        <v>-7.1690436126600685E-3</v>
      </c>
    </row>
    <row r="140" spans="1:19" x14ac:dyDescent="0.35">
      <c r="A140">
        <v>1984</v>
      </c>
      <c r="B140" s="1">
        <f>DATE(_dat80[[#This Row],[Year]],_dat80[[#This Row],[Quarter]]*3-1,15)</f>
        <v>30909</v>
      </c>
      <c r="C140" s="2">
        <f>_dat80[[#This Row],[Year]]+(_dat80[[#This Row],[Quarter]]-1)/4+1/8</f>
        <v>1984.625</v>
      </c>
      <c r="D140" s="2">
        <f>_dat80[[#This Row],[DecDate]]^2</f>
        <v>3938736.390625</v>
      </c>
      <c r="E140">
        <v>3</v>
      </c>
      <c r="F140">
        <v>1047</v>
      </c>
      <c r="G140">
        <f>LN(_dat80[[#This Row],[Expenditure]])</f>
        <v>6.953684210870537</v>
      </c>
      <c r="H140">
        <f>_dat80[[#This Row],[LOG(Expenditure 80)]]-G139</f>
        <v>1.8313764855427017E-2</v>
      </c>
      <c r="I140">
        <f>(1+(_dat80[[#This Row],[Expenditure]]-F139)/F139)^12-1</f>
        <v>0.24578415904013085</v>
      </c>
      <c r="J140" s="2">
        <f>$W$17+$W$18*_dat80[[#This Row],[DecDate]]</f>
        <v>1058.3039641980595</v>
      </c>
      <c r="K140" s="2">
        <f>$W$40+$W$41*_dat80[[#This Row],[DecDate]]+_dat80[[#This Row],[DecDate^2]]*$W$42</f>
        <v>1046.2688311845704</v>
      </c>
      <c r="L140" s="2">
        <f>$AG$17+_dat80[[#This Row],[DecDate]]*$AG$18</f>
        <v>6.9530291611745456</v>
      </c>
      <c r="M140" s="2">
        <f>$AG$40+$AG$41*_dat80[[#This Row],[DecDate]]+_dat80[[#This Row],[DecDate^2]]*$AG$42</f>
        <v>6.9527241264058102</v>
      </c>
      <c r="N140" s="2">
        <f>_dat80[[#This Row],[LOG(Expenditure 80)]]-_dat80[[#This Row],[Linear Trend LOG]]</f>
        <v>6.5504969599139429E-4</v>
      </c>
      <c r="O140" s="2">
        <f t="shared" si="2"/>
        <v>6.3433634911584493E-3</v>
      </c>
      <c r="P140" s="2">
        <f>_dat80[[#This Row],[Cycle 80]]+_dat80[[#This Row],[Linear Trend LOG]]</f>
        <v>6.9593725246657039</v>
      </c>
      <c r="Q140" s="2">
        <f>_dat80[[#This Row],[Detrend(Linear)]]-_dat80[[#This Row],[Cycle 80]]</f>
        <v>-5.688313795167055E-3</v>
      </c>
      <c r="R140" s="2">
        <f>AVERAGEIF(_dat80[Quarter],_dat80[[#This Row],[Quarter]],_dat80[High Frequency])</f>
        <v>3.946848336706609E-3</v>
      </c>
      <c r="S140" s="2">
        <f>_dat80[[#This Row],[S0]]-AVERAGE($R$2:$R$5)</f>
        <v>3.8920300735566758E-3</v>
      </c>
    </row>
    <row r="141" spans="1:19" x14ac:dyDescent="0.35">
      <c r="A141">
        <v>1984</v>
      </c>
      <c r="B141" s="1">
        <f>DATE(_dat80[[#This Row],[Year]],_dat80[[#This Row],[Quarter]]*3-1,15)</f>
        <v>31001</v>
      </c>
      <c r="C141" s="2">
        <f>_dat80[[#This Row],[Year]]+(_dat80[[#This Row],[Quarter]]-1)/4+1/8</f>
        <v>1984.875</v>
      </c>
      <c r="D141" s="2">
        <f>_dat80[[#This Row],[DecDate]]^2</f>
        <v>3939728.765625</v>
      </c>
      <c r="E141">
        <v>4</v>
      </c>
      <c r="F141">
        <v>1016</v>
      </c>
      <c r="G141">
        <f>LN(_dat80[[#This Row],[Expenditure]])</f>
        <v>6.9236286281384274</v>
      </c>
      <c r="H141">
        <f>_dat80[[#This Row],[LOG(Expenditure 80)]]-G140</f>
        <v>-3.005558273210962E-2</v>
      </c>
      <c r="I141">
        <f>(1+(_dat80[[#This Row],[Expenditure]]-F140)/F140)^12-1</f>
        <v>-0.30278886384853765</v>
      </c>
      <c r="J141" s="2">
        <f>$W$17+$W$18*_dat80[[#This Row],[DecDate]]</f>
        <v>1060.2281836827187</v>
      </c>
      <c r="K141" s="2">
        <f>$W$40+$W$41*_dat80[[#This Row],[DecDate]]+_dat80[[#This Row],[DecDate^2]]*$W$42</f>
        <v>1048.182287396281</v>
      </c>
      <c r="L141" s="2">
        <f>$AG$17+_dat80[[#This Row],[DecDate]]*$AG$18</f>
        <v>6.954844535346921</v>
      </c>
      <c r="M141" s="2">
        <f>$AG$40+$AG$41*_dat80[[#This Row],[DecDate]]+_dat80[[#This Row],[DecDate^2]]*$AG$42</f>
        <v>6.9545392277791676</v>
      </c>
      <c r="N141" s="2">
        <f>_dat80[[#This Row],[LOG(Expenditure 80)]]-_dat80[[#This Row],[Linear Trend LOG]]</f>
        <v>-3.1215907208493654E-2</v>
      </c>
      <c r="O141" s="2">
        <f t="shared" si="2"/>
        <v>-4.5301625172511351E-3</v>
      </c>
      <c r="P141" s="2">
        <f>_dat80[[#This Row],[Cycle 80]]+_dat80[[#This Row],[Linear Trend LOG]]</f>
        <v>6.9503143728296699</v>
      </c>
      <c r="Q141" s="2">
        <f>_dat80[[#This Row],[Detrend(Linear)]]-_dat80[[#This Row],[Cycle 80]]</f>
        <v>-2.6685744691242519E-2</v>
      </c>
      <c r="R141" s="2">
        <f>AVERAGEIF(_dat80[Quarter],_dat80[[#This Row],[Quarter]],_dat80[High Frequency])</f>
        <v>-2.9622809170614002E-2</v>
      </c>
      <c r="S141" s="2">
        <f>_dat80[[#This Row],[S0]]-AVERAGE($R$2:$R$5)</f>
        <v>-2.9677627433763936E-2</v>
      </c>
    </row>
    <row r="142" spans="1:19" x14ac:dyDescent="0.35">
      <c r="A142">
        <v>1985</v>
      </c>
      <c r="B142" s="1">
        <f>DATE(_dat80[[#This Row],[Year]],_dat80[[#This Row],[Quarter]]*3-1,15)</f>
        <v>31093</v>
      </c>
      <c r="C142" s="2">
        <f>_dat80[[#This Row],[Year]]+(_dat80[[#This Row],[Quarter]]-1)/4+1/8</f>
        <v>1985.125</v>
      </c>
      <c r="D142" s="2">
        <f>_dat80[[#This Row],[DecDate]]^2</f>
        <v>3940721.265625</v>
      </c>
      <c r="E142">
        <v>1</v>
      </c>
      <c r="F142">
        <v>1092</v>
      </c>
      <c r="G142">
        <f>LN(_dat80[[#This Row],[Expenditure]])</f>
        <v>6.9957661563048505</v>
      </c>
      <c r="H142">
        <f>_dat80[[#This Row],[LOG(Expenditure 80)]]-G141</f>
        <v>7.2137528166423159E-2</v>
      </c>
      <c r="I142">
        <f>(1+(_dat80[[#This Row],[Expenditure]]-F141)/F141)^12-1</f>
        <v>1.3765511450289658</v>
      </c>
      <c r="J142" s="2">
        <f>$W$17+$W$18*_dat80[[#This Row],[DecDate]]</f>
        <v>1062.152403167378</v>
      </c>
      <c r="K142" s="2">
        <f>$W$40+$W$41*_dat80[[#This Row],[DecDate]]+_dat80[[#This Row],[DecDate^2]]*$W$42</f>
        <v>1050.0993313656654</v>
      </c>
      <c r="L142" s="2">
        <f>$AG$17+_dat80[[#This Row],[DecDate]]*$AG$18</f>
        <v>6.9566599095192982</v>
      </c>
      <c r="M142" s="2">
        <f>$AG$40+$AG$41*_dat80[[#This Row],[DecDate]]+_dat80[[#This Row],[DecDate^2]]*$AG$42</f>
        <v>6.9563544200855336</v>
      </c>
      <c r="N142" s="2">
        <f>_dat80[[#This Row],[LOG(Expenditure 80)]]-_dat80[[#This Row],[Linear Trend LOG]]</f>
        <v>3.9106246785552301E-2</v>
      </c>
      <c r="O142" s="2">
        <f t="shared" si="2"/>
        <v>-5.9250340900067759E-4</v>
      </c>
      <c r="P142" s="2">
        <f>_dat80[[#This Row],[Cycle 80]]+_dat80[[#This Row],[Linear Trend LOG]]</f>
        <v>6.9560674061102974</v>
      </c>
      <c r="Q142" s="2">
        <f>_dat80[[#This Row],[Detrend(Linear)]]-_dat80[[#This Row],[Cycle 80]]</f>
        <v>3.9698750194552976E-2</v>
      </c>
      <c r="R142" s="2">
        <f>AVERAGEIF(_dat80[Quarter],_dat80[[#This Row],[Quarter]],_dat80[High Frequency])</f>
        <v>3.3009459236017259E-2</v>
      </c>
      <c r="S142" s="2">
        <f>_dat80[[#This Row],[S0]]-AVERAGE($R$2:$R$5)</f>
        <v>3.2954640972867329E-2</v>
      </c>
    </row>
    <row r="143" spans="1:19" x14ac:dyDescent="0.35">
      <c r="A143">
        <v>1985</v>
      </c>
      <c r="B143" s="1">
        <f>DATE(_dat80[[#This Row],[Year]],_dat80[[#This Row],[Quarter]]*3-1,15)</f>
        <v>31182</v>
      </c>
      <c r="C143" s="2">
        <f>_dat80[[#This Row],[Year]]+(_dat80[[#This Row],[Quarter]]-1)/4+1/8</f>
        <v>1985.375</v>
      </c>
      <c r="D143" s="2">
        <f>_dat80[[#This Row],[DecDate]]^2</f>
        <v>3941713.890625</v>
      </c>
      <c r="E143">
        <v>2</v>
      </c>
      <c r="F143">
        <v>1036</v>
      </c>
      <c r="G143">
        <f>LN(_dat80[[#This Row],[Expenditure]])</f>
        <v>6.9431224228194282</v>
      </c>
      <c r="H143">
        <f>_dat80[[#This Row],[LOG(Expenditure 80)]]-G142</f>
        <v>-5.2643733485422395E-2</v>
      </c>
      <c r="I143">
        <f>(1+(_dat80[[#This Row],[Expenditure]]-F142)/F142)^12-1</f>
        <v>-0.4683260225440864</v>
      </c>
      <c r="J143" s="2">
        <f>$W$17+$W$18*_dat80[[#This Row],[DecDate]]</f>
        <v>1064.0766226520373</v>
      </c>
      <c r="K143" s="2">
        <f>$W$40+$W$41*_dat80[[#This Row],[DecDate]]+_dat80[[#This Row],[DecDate^2]]*$W$42</f>
        <v>1052.01996309268</v>
      </c>
      <c r="L143" s="2">
        <f>$AG$17+_dat80[[#This Row],[DecDate]]*$AG$18</f>
        <v>6.9584752836916755</v>
      </c>
      <c r="M143" s="2">
        <f>$AG$40+$AG$41*_dat80[[#This Row],[DecDate]]+_dat80[[#This Row],[DecDate^2]]*$AG$42</f>
        <v>6.9581697033249039</v>
      </c>
      <c r="N143" s="2">
        <f>_dat80[[#This Row],[LOG(Expenditure 80)]]-_dat80[[#This Row],[Linear Trend LOG]]</f>
        <v>-1.5352860872247298E-2</v>
      </c>
      <c r="O143" s="2">
        <f t="shared" si="2"/>
        <v>-6.2652777697730141E-3</v>
      </c>
      <c r="P143" s="2">
        <f>_dat80[[#This Row],[Cycle 80]]+_dat80[[#This Row],[Linear Trend LOG]]</f>
        <v>6.9522100059219021</v>
      </c>
      <c r="Q143" s="2">
        <f>_dat80[[#This Row],[Detrend(Linear)]]-_dat80[[#This Row],[Cycle 80]]</f>
        <v>-9.087583102474284E-3</v>
      </c>
      <c r="R143" s="2">
        <f>AVERAGEIF(_dat80[Quarter],_dat80[[#This Row],[Quarter]],_dat80[High Frequency])</f>
        <v>-7.1142253495101353E-3</v>
      </c>
      <c r="S143" s="2">
        <f>_dat80[[#This Row],[S0]]-AVERAGE($R$2:$R$5)</f>
        <v>-7.1690436126600685E-3</v>
      </c>
    </row>
    <row r="144" spans="1:19" x14ac:dyDescent="0.35">
      <c r="A144">
        <v>1985</v>
      </c>
      <c r="B144" s="1">
        <f>DATE(_dat80[[#This Row],[Year]],_dat80[[#This Row],[Quarter]]*3-1,15)</f>
        <v>31274</v>
      </c>
      <c r="C144" s="2">
        <f>_dat80[[#This Row],[Year]]+(_dat80[[#This Row],[Quarter]]-1)/4+1/8</f>
        <v>1985.625</v>
      </c>
      <c r="D144" s="2">
        <f>_dat80[[#This Row],[DecDate]]^2</f>
        <v>3942706.640625</v>
      </c>
      <c r="E144">
        <v>3</v>
      </c>
      <c r="F144">
        <v>1058</v>
      </c>
      <c r="G144">
        <f>LN(_dat80[[#This Row],[Expenditure]])</f>
        <v>6.9641356124182447</v>
      </c>
      <c r="H144">
        <f>_dat80[[#This Row],[LOG(Expenditure 80)]]-G143</f>
        <v>2.1013189598816595E-2</v>
      </c>
      <c r="I144">
        <f>(1+(_dat80[[#This Row],[Expenditure]]-F143)/F143)^12-1</f>
        <v>0.28679968962781865</v>
      </c>
      <c r="J144" s="2">
        <f>$W$17+$W$18*_dat80[[#This Row],[DecDate]]</f>
        <v>1066.0008421366965</v>
      </c>
      <c r="K144" s="2">
        <f>$W$40+$W$41*_dat80[[#This Row],[DecDate]]+_dat80[[#This Row],[DecDate^2]]*$W$42</f>
        <v>1053.9441825773538</v>
      </c>
      <c r="L144" s="2">
        <f>$AG$17+_dat80[[#This Row],[DecDate]]*$AG$18</f>
        <v>6.9602906578640509</v>
      </c>
      <c r="M144" s="2">
        <f>$AG$40+$AG$41*_dat80[[#This Row],[DecDate]]+_dat80[[#This Row],[DecDate^2]]*$AG$42</f>
        <v>6.9599850774972811</v>
      </c>
      <c r="N144" s="2">
        <f>_dat80[[#This Row],[LOG(Expenditure 80)]]-_dat80[[#This Row],[Linear Trend LOG]]</f>
        <v>3.844954554193869E-3</v>
      </c>
      <c r="O144" s="2">
        <f t="shared" si="2"/>
        <v>6.3468536911347687E-3</v>
      </c>
      <c r="P144" s="2">
        <f>_dat80[[#This Row],[Cycle 80]]+_dat80[[#This Row],[Linear Trend LOG]]</f>
        <v>6.9666375115551853</v>
      </c>
      <c r="Q144" s="2">
        <f>_dat80[[#This Row],[Detrend(Linear)]]-_dat80[[#This Row],[Cycle 80]]</f>
        <v>-2.5018991369408997E-3</v>
      </c>
      <c r="R144" s="2">
        <f>AVERAGEIF(_dat80[Quarter],_dat80[[#This Row],[Quarter]],_dat80[High Frequency])</f>
        <v>3.946848336706609E-3</v>
      </c>
      <c r="S144" s="2">
        <f>_dat80[[#This Row],[S0]]-AVERAGE($R$2:$R$5)</f>
        <v>3.8920300735566758E-3</v>
      </c>
    </row>
    <row r="145" spans="1:19" x14ac:dyDescent="0.35">
      <c r="A145">
        <v>1985</v>
      </c>
      <c r="B145" s="1">
        <f>DATE(_dat80[[#This Row],[Year]],_dat80[[#This Row],[Quarter]]*3-1,15)</f>
        <v>31366</v>
      </c>
      <c r="C145" s="2">
        <f>_dat80[[#This Row],[Year]]+(_dat80[[#This Row],[Quarter]]-1)/4+1/8</f>
        <v>1985.875</v>
      </c>
      <c r="D145" s="2">
        <f>_dat80[[#This Row],[DecDate]]^2</f>
        <v>3943699.515625</v>
      </c>
      <c r="E145">
        <v>4</v>
      </c>
      <c r="F145">
        <v>1027</v>
      </c>
      <c r="G145">
        <f>LN(_dat80[[#This Row],[Expenditure]])</f>
        <v>6.9343972099285578</v>
      </c>
      <c r="H145">
        <f>_dat80[[#This Row],[LOG(Expenditure 80)]]-G144</f>
        <v>-2.9738402489686955E-2</v>
      </c>
      <c r="I145">
        <f>(1+(_dat80[[#This Row],[Expenditure]]-F144)/F144)^12-1</f>
        <v>-0.30013010806324913</v>
      </c>
      <c r="J145" s="2">
        <f>$W$17+$W$18*_dat80[[#This Row],[DecDate]]</f>
        <v>1067.9250616213576</v>
      </c>
      <c r="K145" s="2">
        <f>$W$40+$W$41*_dat80[[#This Row],[DecDate]]+_dat80[[#This Row],[DecDate^2]]*$W$42</f>
        <v>1055.8719898196578</v>
      </c>
      <c r="L145" s="2">
        <f>$AG$17+_dat80[[#This Row],[DecDate]]*$AG$18</f>
        <v>6.9621060320364281</v>
      </c>
      <c r="M145" s="2">
        <f>$AG$40+$AG$41*_dat80[[#This Row],[DecDate]]+_dat80[[#This Row],[DecDate^2]]*$AG$42</f>
        <v>6.9618005426026635</v>
      </c>
      <c r="N145" s="2">
        <f>_dat80[[#This Row],[LOG(Expenditure 80)]]-_dat80[[#This Row],[Linear Trend LOG]]</f>
        <v>-2.770882210787029E-2</v>
      </c>
      <c r="O145" s="2">
        <f t="shared" si="2"/>
        <v>-5.034338019218332E-3</v>
      </c>
      <c r="P145" s="2">
        <f>_dat80[[#This Row],[Cycle 80]]+_dat80[[#This Row],[Linear Trend LOG]]</f>
        <v>6.9570716940172099</v>
      </c>
      <c r="Q145" s="2">
        <f>_dat80[[#This Row],[Detrend(Linear)]]-_dat80[[#This Row],[Cycle 80]]</f>
        <v>-2.2674484088651959E-2</v>
      </c>
      <c r="R145" s="2">
        <f>AVERAGEIF(_dat80[Quarter],_dat80[[#This Row],[Quarter]],_dat80[High Frequency])</f>
        <v>-2.9622809170614002E-2</v>
      </c>
      <c r="S145" s="2">
        <f>_dat80[[#This Row],[S0]]-AVERAGE($R$2:$R$5)</f>
        <v>-2.9677627433763936E-2</v>
      </c>
    </row>
    <row r="146" spans="1:19" x14ac:dyDescent="0.35">
      <c r="A146">
        <v>1986</v>
      </c>
      <c r="B146" s="1">
        <f>DATE(_dat80[[#This Row],[Year]],_dat80[[#This Row],[Quarter]]*3-1,15)</f>
        <v>31458</v>
      </c>
      <c r="C146" s="2">
        <f>_dat80[[#This Row],[Year]]+(_dat80[[#This Row],[Quarter]]-1)/4+1/8</f>
        <v>1986.125</v>
      </c>
      <c r="D146" s="2">
        <f>_dat80[[#This Row],[DecDate]]^2</f>
        <v>3944692.515625</v>
      </c>
      <c r="E146">
        <v>1</v>
      </c>
      <c r="F146">
        <v>1092</v>
      </c>
      <c r="G146">
        <f>LN(_dat80[[#This Row],[Expenditure]])</f>
        <v>6.9957661563048505</v>
      </c>
      <c r="H146">
        <f>_dat80[[#This Row],[LOG(Expenditure 80)]]-G145</f>
        <v>6.1368946376292755E-2</v>
      </c>
      <c r="I146">
        <f>(1+(_dat80[[#This Row],[Expenditure]]-F145)/F145)^12-1</f>
        <v>1.0884608442509762</v>
      </c>
      <c r="J146" s="2">
        <f>$W$17+$W$18*_dat80[[#This Row],[DecDate]]</f>
        <v>1069.8492811060169</v>
      </c>
      <c r="K146" s="2">
        <f>$W$40+$W$41*_dat80[[#This Row],[DecDate]]+_dat80[[#This Row],[DecDate^2]]*$W$42</f>
        <v>1057.8033848195773</v>
      </c>
      <c r="L146" s="2">
        <f>$AG$17+_dat80[[#This Row],[DecDate]]*$AG$18</f>
        <v>6.9639214062088053</v>
      </c>
      <c r="M146" s="2">
        <f>$AG$40+$AG$41*_dat80[[#This Row],[DecDate]]+_dat80[[#This Row],[DecDate^2]]*$AG$42</f>
        <v>6.9636160986410509</v>
      </c>
      <c r="N146" s="2">
        <f>_dat80[[#This Row],[LOG(Expenditure 80)]]-_dat80[[#This Row],[Linear Trend LOG]]</f>
        <v>3.184475009604526E-2</v>
      </c>
      <c r="O146" s="2">
        <f t="shared" si="2"/>
        <v>1.0983535383079612E-3</v>
      </c>
      <c r="P146" s="2">
        <f>_dat80[[#This Row],[Cycle 80]]+_dat80[[#This Row],[Linear Trend LOG]]</f>
        <v>6.9650197597471131</v>
      </c>
      <c r="Q146" s="2">
        <f>_dat80[[#This Row],[Detrend(Linear)]]-_dat80[[#This Row],[Cycle 80]]</f>
        <v>3.07463965577373E-2</v>
      </c>
      <c r="R146" s="2">
        <f>AVERAGEIF(_dat80[Quarter],_dat80[[#This Row],[Quarter]],_dat80[High Frequency])</f>
        <v>3.3009459236017259E-2</v>
      </c>
      <c r="S146" s="2">
        <f>_dat80[[#This Row],[S0]]-AVERAGE($R$2:$R$5)</f>
        <v>3.2954640972867329E-2</v>
      </c>
    </row>
    <row r="147" spans="1:19" x14ac:dyDescent="0.35">
      <c r="A147">
        <v>1986</v>
      </c>
      <c r="B147" s="1">
        <f>DATE(_dat80[[#This Row],[Year]],_dat80[[#This Row],[Quarter]]*3-1,15)</f>
        <v>31547</v>
      </c>
      <c r="C147" s="2">
        <f>_dat80[[#This Row],[Year]]+(_dat80[[#This Row],[Quarter]]-1)/4+1/8</f>
        <v>1986.375</v>
      </c>
      <c r="D147" s="2">
        <f>_dat80[[#This Row],[DecDate]]^2</f>
        <v>3945685.640625</v>
      </c>
      <c r="E147">
        <v>2</v>
      </c>
      <c r="F147">
        <v>1041</v>
      </c>
      <c r="G147">
        <f>LN(_dat80[[#This Row],[Expenditure]])</f>
        <v>6.9479370686149693</v>
      </c>
      <c r="H147">
        <f>_dat80[[#This Row],[LOG(Expenditure 80)]]-G146</f>
        <v>-4.7829087689881256E-2</v>
      </c>
      <c r="I147">
        <f>(1+(_dat80[[#This Row],[Expenditure]]-F146)/F146)^12-1</f>
        <v>-0.43670344693318575</v>
      </c>
      <c r="J147" s="2">
        <f>$W$17+$W$18*_dat80[[#This Row],[DecDate]]</f>
        <v>1071.7735005906761</v>
      </c>
      <c r="K147" s="2">
        <f>$W$40+$W$41*_dat80[[#This Row],[DecDate]]+_dat80[[#This Row],[DecDate^2]]*$W$42</f>
        <v>1059.7383675771707</v>
      </c>
      <c r="L147" s="2">
        <f>$AG$17+_dat80[[#This Row],[DecDate]]*$AG$18</f>
        <v>6.9657367803811825</v>
      </c>
      <c r="M147" s="2">
        <f>$AG$40+$AG$41*_dat80[[#This Row],[DecDate]]+_dat80[[#This Row],[DecDate^2]]*$AG$42</f>
        <v>6.965431745612447</v>
      </c>
      <c r="N147" s="2">
        <f>_dat80[[#This Row],[LOG(Expenditure 80)]]-_dat80[[#This Row],[Linear Trend LOG]]</f>
        <v>-1.77997117662132E-2</v>
      </c>
      <c r="O147" s="2">
        <f t="shared" si="2"/>
        <v>-7.0545648032160459E-3</v>
      </c>
      <c r="P147" s="2">
        <f>_dat80[[#This Row],[Cycle 80]]+_dat80[[#This Row],[Linear Trend LOG]]</f>
        <v>6.9586822155779666</v>
      </c>
      <c r="Q147" s="2">
        <f>_dat80[[#This Row],[Detrend(Linear)]]-_dat80[[#This Row],[Cycle 80]]</f>
        <v>-1.0745146962997155E-2</v>
      </c>
      <c r="R147" s="2">
        <f>AVERAGEIF(_dat80[Quarter],_dat80[[#This Row],[Quarter]],_dat80[High Frequency])</f>
        <v>-7.1142253495101353E-3</v>
      </c>
      <c r="S147" s="2">
        <f>_dat80[[#This Row],[S0]]-AVERAGE($R$2:$R$5)</f>
        <v>-7.1690436126600685E-3</v>
      </c>
    </row>
    <row r="148" spans="1:19" x14ac:dyDescent="0.35">
      <c r="A148">
        <v>1986</v>
      </c>
      <c r="B148" s="1">
        <f>DATE(_dat80[[#This Row],[Year]],_dat80[[#This Row],[Quarter]]*3-1,15)</f>
        <v>31639</v>
      </c>
      <c r="C148" s="2">
        <f>_dat80[[#This Row],[Year]]+(_dat80[[#This Row],[Quarter]]-1)/4+1/8</f>
        <v>1986.625</v>
      </c>
      <c r="D148" s="2">
        <f>_dat80[[#This Row],[DecDate]]^2</f>
        <v>3946678.890625</v>
      </c>
      <c r="E148">
        <v>3</v>
      </c>
      <c r="F148">
        <v>1078</v>
      </c>
      <c r="G148">
        <f>LN(_dat80[[#This Row],[Expenditure]])</f>
        <v>6.9828627514689421</v>
      </c>
      <c r="H148">
        <f>_dat80[[#This Row],[LOG(Expenditure 80)]]-G147</f>
        <v>3.4925682853972795E-2</v>
      </c>
      <c r="I148">
        <f>(1+(_dat80[[#This Row],[Expenditure]]-F147)/F147)^12-1</f>
        <v>0.52060486658998562</v>
      </c>
      <c r="J148" s="2">
        <f>$W$17+$W$18*_dat80[[#This Row],[DecDate]]</f>
        <v>1073.6977200753354</v>
      </c>
      <c r="K148" s="2">
        <f>$W$40+$W$41*_dat80[[#This Row],[DecDate]]+_dat80[[#This Row],[DecDate^2]]*$W$42</f>
        <v>1061.6769380924088</v>
      </c>
      <c r="L148" s="2">
        <f>$AG$17+_dat80[[#This Row],[DecDate]]*$AG$18</f>
        <v>6.9675521545535579</v>
      </c>
      <c r="M148" s="2">
        <f>$AG$40+$AG$41*_dat80[[#This Row],[DecDate]]+_dat80[[#This Row],[DecDate^2]]*$AG$42</f>
        <v>6.9672474835168465</v>
      </c>
      <c r="N148" s="2">
        <f>_dat80[[#This Row],[LOG(Expenditure 80)]]-_dat80[[#This Row],[Linear Trend LOG]]</f>
        <v>1.5310596915384167E-2</v>
      </c>
      <c r="O148" s="2">
        <f t="shared" si="2"/>
        <v>5.7707418290661398E-3</v>
      </c>
      <c r="P148" s="2">
        <f>_dat80[[#This Row],[Cycle 80]]+_dat80[[#This Row],[Linear Trend LOG]]</f>
        <v>6.9733228963826237</v>
      </c>
      <c r="Q148" s="2">
        <f>_dat80[[#This Row],[Detrend(Linear)]]-_dat80[[#This Row],[Cycle 80]]</f>
        <v>9.5398550863180272E-3</v>
      </c>
      <c r="R148" s="2">
        <f>AVERAGEIF(_dat80[Quarter],_dat80[[#This Row],[Quarter]],_dat80[High Frequency])</f>
        <v>3.946848336706609E-3</v>
      </c>
      <c r="S148" s="2">
        <f>_dat80[[#This Row],[S0]]-AVERAGE($R$2:$R$5)</f>
        <v>3.8920300735566758E-3</v>
      </c>
    </row>
    <row r="149" spans="1:19" x14ac:dyDescent="0.35">
      <c r="A149">
        <v>1986</v>
      </c>
      <c r="B149" s="1">
        <f>DATE(_dat80[[#This Row],[Year]],_dat80[[#This Row],[Quarter]]*3-1,15)</f>
        <v>31731</v>
      </c>
      <c r="C149" s="2">
        <f>_dat80[[#This Row],[Year]]+(_dat80[[#This Row],[Quarter]]-1)/4+1/8</f>
        <v>1986.875</v>
      </c>
      <c r="D149" s="2">
        <f>_dat80[[#This Row],[DecDate]]^2</f>
        <v>3947672.265625</v>
      </c>
      <c r="E149">
        <v>4</v>
      </c>
      <c r="F149">
        <v>1025</v>
      </c>
      <c r="G149">
        <f>LN(_dat80[[#This Row],[Expenditure]])</f>
        <v>6.932447891572509</v>
      </c>
      <c r="H149">
        <f>_dat80[[#This Row],[LOG(Expenditure 80)]]-G148</f>
        <v>-5.0414859896433128E-2</v>
      </c>
      <c r="I149">
        <f>(1+(_dat80[[#This Row],[Expenditure]]-F148)/F148)^12-1</f>
        <v>-0.45391373365971455</v>
      </c>
      <c r="J149" s="2">
        <f>$W$17+$W$18*_dat80[[#This Row],[DecDate]]</f>
        <v>1075.6219395599946</v>
      </c>
      <c r="K149" s="2">
        <f>$W$40+$W$41*_dat80[[#This Row],[DecDate]]+_dat80[[#This Row],[DecDate^2]]*$W$42</f>
        <v>1063.6190963652916</v>
      </c>
      <c r="L149" s="2">
        <f>$AG$17+_dat80[[#This Row],[DecDate]]*$AG$18</f>
        <v>6.9693675287259351</v>
      </c>
      <c r="M149" s="2">
        <f>$AG$40+$AG$41*_dat80[[#This Row],[DecDate]]+_dat80[[#This Row],[DecDate^2]]*$AG$42</f>
        <v>6.9690633123542547</v>
      </c>
      <c r="N149" s="2">
        <f>_dat80[[#This Row],[LOG(Expenditure 80)]]-_dat80[[#This Row],[Linear Trend LOG]]</f>
        <v>-3.6919637153426166E-2</v>
      </c>
      <c r="O149" s="2">
        <f t="shared" si="2"/>
        <v>-4.6521346793067407E-3</v>
      </c>
      <c r="P149" s="2">
        <f>_dat80[[#This Row],[Cycle 80]]+_dat80[[#This Row],[Linear Trend LOG]]</f>
        <v>6.9647153940466282</v>
      </c>
      <c r="Q149" s="2">
        <f>_dat80[[#This Row],[Detrend(Linear)]]-_dat80[[#This Row],[Cycle 80]]</f>
        <v>-3.2267502474119428E-2</v>
      </c>
      <c r="R149" s="2">
        <f>AVERAGEIF(_dat80[Quarter],_dat80[[#This Row],[Quarter]],_dat80[High Frequency])</f>
        <v>-2.9622809170614002E-2</v>
      </c>
      <c r="S149" s="2">
        <f>_dat80[[#This Row],[S0]]-AVERAGE($R$2:$R$5)</f>
        <v>-2.9677627433763936E-2</v>
      </c>
    </row>
    <row r="150" spans="1:19" x14ac:dyDescent="0.35">
      <c r="A150">
        <v>1987</v>
      </c>
      <c r="B150" s="1">
        <f>DATE(_dat80[[#This Row],[Year]],_dat80[[#This Row],[Quarter]]*3-1,15)</f>
        <v>31823</v>
      </c>
      <c r="C150" s="2">
        <f>_dat80[[#This Row],[Year]]+(_dat80[[#This Row],[Quarter]]-1)/4+1/8</f>
        <v>1987.125</v>
      </c>
      <c r="D150" s="2">
        <f>_dat80[[#This Row],[DecDate]]^2</f>
        <v>3948665.765625</v>
      </c>
      <c r="E150">
        <v>1</v>
      </c>
      <c r="F150">
        <v>1105</v>
      </c>
      <c r="G150">
        <f>LN(_dat80[[#This Row],[Expenditure]])</f>
        <v>7.007600613951853</v>
      </c>
      <c r="H150">
        <f>_dat80[[#This Row],[LOG(Expenditure 80)]]-G149</f>
        <v>7.5152722379344006E-2</v>
      </c>
      <c r="I150">
        <f>(1+(_dat80[[#This Row],[Expenditure]]-F149)/F149)^12-1</f>
        <v>1.4641148814564784</v>
      </c>
      <c r="J150" s="2">
        <f>$W$17+$W$18*_dat80[[#This Row],[DecDate]]</f>
        <v>1077.5461590446539</v>
      </c>
      <c r="K150" s="2">
        <f>$W$40+$W$41*_dat80[[#This Row],[DecDate]]+_dat80[[#This Row],[DecDate^2]]*$W$42</f>
        <v>1065.56484239579</v>
      </c>
      <c r="L150" s="2">
        <f>$AG$17+_dat80[[#This Row],[DecDate]]*$AG$18</f>
        <v>6.9711829028983123</v>
      </c>
      <c r="M150" s="2">
        <f>$AG$40+$AG$41*_dat80[[#This Row],[DecDate]]+_dat80[[#This Row],[DecDate^2]]*$AG$42</f>
        <v>6.9708792321246671</v>
      </c>
      <c r="N150" s="2">
        <f>_dat80[[#This Row],[LOG(Expenditure 80)]]-_dat80[[#This Row],[Linear Trend LOG]]</f>
        <v>3.6417711053540636E-2</v>
      </c>
      <c r="O150" s="2">
        <f t="shared" si="2"/>
        <v>7.0307047694981859E-4</v>
      </c>
      <c r="P150" s="2">
        <f>_dat80[[#This Row],[Cycle 80]]+_dat80[[#This Row],[Linear Trend LOG]]</f>
        <v>6.9718859733752625</v>
      </c>
      <c r="Q150" s="2">
        <f>_dat80[[#This Row],[Detrend(Linear)]]-_dat80[[#This Row],[Cycle 80]]</f>
        <v>3.5714640576590816E-2</v>
      </c>
      <c r="R150" s="2">
        <f>AVERAGEIF(_dat80[Quarter],_dat80[[#This Row],[Quarter]],_dat80[High Frequency])</f>
        <v>3.3009459236017259E-2</v>
      </c>
      <c r="S150" s="2">
        <f>_dat80[[#This Row],[S0]]-AVERAGE($R$2:$R$5)</f>
        <v>3.2954640972867329E-2</v>
      </c>
    </row>
    <row r="151" spans="1:19" x14ac:dyDescent="0.35">
      <c r="A151">
        <v>1987</v>
      </c>
      <c r="B151" s="1">
        <f>DATE(_dat80[[#This Row],[Year]],_dat80[[#This Row],[Quarter]]*3-1,15)</f>
        <v>31912</v>
      </c>
      <c r="C151" s="2">
        <f>_dat80[[#This Row],[Year]]+(_dat80[[#This Row],[Quarter]]-1)/4+1/8</f>
        <v>1987.375</v>
      </c>
      <c r="D151" s="2">
        <f>_dat80[[#This Row],[DecDate]]^2</f>
        <v>3949659.390625</v>
      </c>
      <c r="E151">
        <v>2</v>
      </c>
      <c r="F151">
        <v>1046</v>
      </c>
      <c r="G151">
        <f>LN(_dat80[[#This Row],[Expenditure]])</f>
        <v>6.9527286446248686</v>
      </c>
      <c r="H151">
        <f>_dat80[[#This Row],[LOG(Expenditure 80)]]-G150</f>
        <v>-5.4871969326984349E-2</v>
      </c>
      <c r="I151">
        <f>(1+(_dat80[[#This Row],[Expenditure]]-F150)/F150)^12-1</f>
        <v>-0.48235398131045659</v>
      </c>
      <c r="J151" s="2">
        <f>$W$17+$W$18*_dat80[[#This Row],[DecDate]]</f>
        <v>1079.4703785293132</v>
      </c>
      <c r="K151" s="2">
        <f>$W$40+$W$41*_dat80[[#This Row],[DecDate]]+_dat80[[#This Row],[DecDate^2]]*$W$42</f>
        <v>1067.5141761839623</v>
      </c>
      <c r="L151" s="2">
        <f>$AG$17+_dat80[[#This Row],[DecDate]]*$AG$18</f>
        <v>6.9729982770706878</v>
      </c>
      <c r="M151" s="2">
        <f>$AG$40+$AG$41*_dat80[[#This Row],[DecDate]]+_dat80[[#This Row],[DecDate^2]]*$AG$42</f>
        <v>6.9726952428280855</v>
      </c>
      <c r="N151" s="2">
        <f>_dat80[[#This Row],[LOG(Expenditure 80)]]-_dat80[[#This Row],[Linear Trend LOG]]</f>
        <v>-2.0269632445819141E-2</v>
      </c>
      <c r="O151" s="2">
        <f t="shared" si="2"/>
        <v>-7.9054095265529874E-3</v>
      </c>
      <c r="P151" s="2">
        <f>_dat80[[#This Row],[Cycle 80]]+_dat80[[#This Row],[Linear Trend LOG]]</f>
        <v>6.9650928675441346</v>
      </c>
      <c r="Q151" s="2">
        <f>_dat80[[#This Row],[Detrend(Linear)]]-_dat80[[#This Row],[Cycle 80]]</f>
        <v>-1.2364222919266154E-2</v>
      </c>
      <c r="R151" s="2">
        <f>AVERAGEIF(_dat80[Quarter],_dat80[[#This Row],[Quarter]],_dat80[High Frequency])</f>
        <v>-7.1142253495101353E-3</v>
      </c>
      <c r="S151" s="2">
        <f>_dat80[[#This Row],[S0]]-AVERAGE($R$2:$R$5)</f>
        <v>-7.1690436126600685E-3</v>
      </c>
    </row>
    <row r="152" spans="1:19" x14ac:dyDescent="0.35">
      <c r="A152">
        <v>1987</v>
      </c>
      <c r="B152" s="1">
        <f>DATE(_dat80[[#This Row],[Year]],_dat80[[#This Row],[Quarter]]*3-1,15)</f>
        <v>32004</v>
      </c>
      <c r="C152" s="2">
        <f>_dat80[[#This Row],[Year]]+(_dat80[[#This Row],[Quarter]]-1)/4+1/8</f>
        <v>1987.625</v>
      </c>
      <c r="D152" s="2">
        <f>_dat80[[#This Row],[DecDate]]^2</f>
        <v>3950653.140625</v>
      </c>
      <c r="E152">
        <v>3</v>
      </c>
      <c r="F152">
        <v>1079</v>
      </c>
      <c r="G152">
        <f>LN(_dat80[[#This Row],[Expenditure]])</f>
        <v>6.9837899652581346</v>
      </c>
      <c r="H152">
        <f>_dat80[[#This Row],[LOG(Expenditure 80)]]-G151</f>
        <v>3.1061320633265943E-2</v>
      </c>
      <c r="I152">
        <f>(1+(_dat80[[#This Row],[Expenditure]]-F151)/F151)^12-1</f>
        <v>0.45170081892445357</v>
      </c>
      <c r="J152" s="2">
        <f>$W$17+$W$18*_dat80[[#This Row],[DecDate]]</f>
        <v>1081.3945980139724</v>
      </c>
      <c r="K152" s="2">
        <f>$W$40+$W$41*_dat80[[#This Row],[DecDate]]+_dat80[[#This Row],[DecDate^2]]*$W$42</f>
        <v>1069.4670977297646</v>
      </c>
      <c r="L152" s="2">
        <f>$AG$17+_dat80[[#This Row],[DecDate]]*$AG$18</f>
        <v>6.974813651243065</v>
      </c>
      <c r="M152" s="2">
        <f>$AG$40+$AG$41*_dat80[[#This Row],[DecDate]]+_dat80[[#This Row],[DecDate^2]]*$AG$42</f>
        <v>6.9745113444645117</v>
      </c>
      <c r="N152" s="2">
        <f>_dat80[[#This Row],[LOG(Expenditure 80)]]-_dat80[[#This Row],[Linear Trend LOG]]</f>
        <v>8.9763140150695975E-3</v>
      </c>
      <c r="O152" s="2">
        <f t="shared" si="2"/>
        <v>4.766035929140244E-3</v>
      </c>
      <c r="P152" s="2">
        <f>_dat80[[#This Row],[Cycle 80]]+_dat80[[#This Row],[Linear Trend LOG]]</f>
        <v>6.9795796871722056</v>
      </c>
      <c r="Q152" s="2">
        <f>_dat80[[#This Row],[Detrend(Linear)]]-_dat80[[#This Row],[Cycle 80]]</f>
        <v>4.2102780859293535E-3</v>
      </c>
      <c r="R152" s="2">
        <f>AVERAGEIF(_dat80[Quarter],_dat80[[#This Row],[Quarter]],_dat80[High Frequency])</f>
        <v>3.946848336706609E-3</v>
      </c>
      <c r="S152" s="2">
        <f>_dat80[[#This Row],[S0]]-AVERAGE($R$2:$R$5)</f>
        <v>3.8920300735566758E-3</v>
      </c>
    </row>
    <row r="153" spans="1:19" x14ac:dyDescent="0.35">
      <c r="A153">
        <v>1987</v>
      </c>
      <c r="B153" s="1">
        <f>DATE(_dat80[[#This Row],[Year]],_dat80[[#This Row],[Quarter]]*3-1,15)</f>
        <v>32096</v>
      </c>
      <c r="C153" s="2">
        <f>_dat80[[#This Row],[Year]]+(_dat80[[#This Row],[Quarter]]-1)/4+1/8</f>
        <v>1987.875</v>
      </c>
      <c r="D153" s="2">
        <f>_dat80[[#This Row],[DecDate]]^2</f>
        <v>3951647.015625</v>
      </c>
      <c r="E153">
        <v>4</v>
      </c>
      <c r="F153">
        <v>1042</v>
      </c>
      <c r="G153">
        <f>LN(_dat80[[#This Row],[Expenditure]])</f>
        <v>6.9488972223133123</v>
      </c>
      <c r="H153">
        <f>_dat80[[#This Row],[LOG(Expenditure 80)]]-G152</f>
        <v>-3.4892742944822253E-2</v>
      </c>
      <c r="I153">
        <f>(1+(_dat80[[#This Row],[Expenditure]]-F152)/F152)^12-1</f>
        <v>-0.34210696083970693</v>
      </c>
      <c r="J153" s="2">
        <f>$W$17+$W$18*_dat80[[#This Row],[DecDate]]</f>
        <v>1083.3188174986335</v>
      </c>
      <c r="K153" s="2">
        <f>$W$40+$W$41*_dat80[[#This Row],[DecDate]]+_dat80[[#This Row],[DecDate^2]]*$W$42</f>
        <v>1071.4236070332263</v>
      </c>
      <c r="L153" s="2">
        <f>$AG$17+_dat80[[#This Row],[DecDate]]*$AG$18</f>
        <v>6.9766290254154422</v>
      </c>
      <c r="M153" s="2">
        <f>$AG$40+$AG$41*_dat80[[#This Row],[DecDate]]+_dat80[[#This Row],[DecDate^2]]*$AG$42</f>
        <v>6.9763275370339421</v>
      </c>
      <c r="N153" s="2">
        <f>_dat80[[#This Row],[LOG(Expenditure 80)]]-_dat80[[#This Row],[Linear Trend LOG]]</f>
        <v>-2.7731803102129859E-2</v>
      </c>
      <c r="O153" s="2">
        <f t="shared" si="2"/>
        <v>-5.1760333108102682E-3</v>
      </c>
      <c r="P153" s="2">
        <f>_dat80[[#This Row],[Cycle 80]]+_dat80[[#This Row],[Linear Trend LOG]]</f>
        <v>6.9714529921046315</v>
      </c>
      <c r="Q153" s="2">
        <f>_dat80[[#This Row],[Detrend(Linear)]]-_dat80[[#This Row],[Cycle 80]]</f>
        <v>-2.255576979131959E-2</v>
      </c>
      <c r="R153" s="2">
        <f>AVERAGEIF(_dat80[Quarter],_dat80[[#This Row],[Quarter]],_dat80[High Frequency])</f>
        <v>-2.9622809170614002E-2</v>
      </c>
      <c r="S153" s="2">
        <f>_dat80[[#This Row],[S0]]-AVERAGE($R$2:$R$5)</f>
        <v>-2.9677627433763936E-2</v>
      </c>
    </row>
    <row r="154" spans="1:19" x14ac:dyDescent="0.35">
      <c r="A154">
        <v>1988</v>
      </c>
      <c r="B154" s="1">
        <f>DATE(_dat80[[#This Row],[Year]],_dat80[[#This Row],[Quarter]]*3-1,15)</f>
        <v>32188</v>
      </c>
      <c r="C154" s="2">
        <f>_dat80[[#This Row],[Year]]+(_dat80[[#This Row],[Quarter]]-1)/4+1/8</f>
        <v>1988.125</v>
      </c>
      <c r="D154" s="2">
        <f>_dat80[[#This Row],[DecDate]]^2</f>
        <v>3952641.015625</v>
      </c>
      <c r="E154">
        <v>1</v>
      </c>
      <c r="F154">
        <v>1102</v>
      </c>
      <c r="G154">
        <f>LN(_dat80[[#This Row],[Expenditure]])</f>
        <v>7.0048819897128594</v>
      </c>
      <c r="H154">
        <f>_dat80[[#This Row],[LOG(Expenditure 80)]]-G153</f>
        <v>5.5984767399547053E-2</v>
      </c>
      <c r="I154">
        <f>(1+(_dat80[[#This Row],[Expenditure]]-F153)/F153)^12-1</f>
        <v>0.9577918065250377</v>
      </c>
      <c r="J154" s="2">
        <f>$W$17+$W$18*_dat80[[#This Row],[DecDate]]</f>
        <v>1085.2430369832928</v>
      </c>
      <c r="K154" s="2">
        <f>$W$40+$W$41*_dat80[[#This Row],[DecDate]]+_dat80[[#This Row],[DecDate^2]]*$W$42</f>
        <v>1073.3837040943181</v>
      </c>
      <c r="L154" s="2">
        <f>$AG$17+_dat80[[#This Row],[DecDate]]*$AG$18</f>
        <v>6.9784443995878194</v>
      </c>
      <c r="M154" s="2">
        <f>$AG$40+$AG$41*_dat80[[#This Row],[DecDate]]+_dat80[[#This Row],[DecDate^2]]*$AG$42</f>
        <v>6.9781438205363795</v>
      </c>
      <c r="N154" s="2">
        <f>_dat80[[#This Row],[LOG(Expenditure 80)]]-_dat80[[#This Row],[Linear Trend LOG]]</f>
        <v>2.6437590125039989E-2</v>
      </c>
      <c r="O154" s="2">
        <f t="shared" si="2"/>
        <v>2.1647920419594511E-3</v>
      </c>
      <c r="P154" s="2">
        <f>_dat80[[#This Row],[Cycle 80]]+_dat80[[#This Row],[Linear Trend LOG]]</f>
        <v>6.980609191629779</v>
      </c>
      <c r="Q154" s="2">
        <f>_dat80[[#This Row],[Detrend(Linear)]]-_dat80[[#This Row],[Cycle 80]]</f>
        <v>2.4272798083080537E-2</v>
      </c>
      <c r="R154" s="2">
        <f>AVERAGEIF(_dat80[Quarter],_dat80[[#This Row],[Quarter]],_dat80[High Frequency])</f>
        <v>3.3009459236017259E-2</v>
      </c>
      <c r="S154" s="2">
        <f>_dat80[[#This Row],[S0]]-AVERAGE($R$2:$R$5)</f>
        <v>3.2954640972867329E-2</v>
      </c>
    </row>
    <row r="155" spans="1:19" x14ac:dyDescent="0.35">
      <c r="A155">
        <v>1988</v>
      </c>
      <c r="B155" s="1">
        <f>DATE(_dat80[[#This Row],[Year]],_dat80[[#This Row],[Quarter]]*3-1,15)</f>
        <v>32278</v>
      </c>
      <c r="C155" s="2">
        <f>_dat80[[#This Row],[Year]]+(_dat80[[#This Row],[Quarter]]-1)/4+1/8</f>
        <v>1988.375</v>
      </c>
      <c r="D155" s="2">
        <f>_dat80[[#This Row],[DecDate]]^2</f>
        <v>3953635.140625</v>
      </c>
      <c r="E155">
        <v>2</v>
      </c>
      <c r="F155">
        <v>1061</v>
      </c>
      <c r="G155">
        <f>LN(_dat80[[#This Row],[Expenditure]])</f>
        <v>6.9669671386139829</v>
      </c>
      <c r="H155">
        <f>_dat80[[#This Row],[LOG(Expenditure 80)]]-G154</f>
        <v>-3.791485109887649E-2</v>
      </c>
      <c r="I155">
        <f>(1+(_dat80[[#This Row],[Expenditure]]-F154)/F154)^12-1</f>
        <v>-0.36553820930165548</v>
      </c>
      <c r="J155" s="2">
        <f>$W$17+$W$18*_dat80[[#This Row],[DecDate]]</f>
        <v>1087.167256467952</v>
      </c>
      <c r="K155" s="2">
        <f>$W$40+$W$41*_dat80[[#This Row],[DecDate]]+_dat80[[#This Row],[DecDate^2]]*$W$42</f>
        <v>1075.3473889130255</v>
      </c>
      <c r="L155" s="2">
        <f>$AG$17+_dat80[[#This Row],[DecDate]]*$AG$18</f>
        <v>6.9802597737601948</v>
      </c>
      <c r="M155" s="2">
        <f>$AG$40+$AG$41*_dat80[[#This Row],[DecDate]]+_dat80[[#This Row],[DecDate^2]]*$AG$42</f>
        <v>6.979960194971822</v>
      </c>
      <c r="N155" s="2">
        <f>_dat80[[#This Row],[LOG(Expenditure 80)]]-_dat80[[#This Row],[Linear Trend LOG]]</f>
        <v>-1.3292635146211929E-2</v>
      </c>
      <c r="O155" s="2">
        <f t="shared" si="2"/>
        <v>-6.4372841818897799E-3</v>
      </c>
      <c r="P155" s="2">
        <f>_dat80[[#This Row],[Cycle 80]]+_dat80[[#This Row],[Linear Trend LOG]]</f>
        <v>6.9738224895783052</v>
      </c>
      <c r="Q155" s="2">
        <f>_dat80[[#This Row],[Detrend(Linear)]]-_dat80[[#This Row],[Cycle 80]]</f>
        <v>-6.8553509643221487E-3</v>
      </c>
      <c r="R155" s="2">
        <f>AVERAGEIF(_dat80[Quarter],_dat80[[#This Row],[Quarter]],_dat80[High Frequency])</f>
        <v>-7.1142253495101353E-3</v>
      </c>
      <c r="S155" s="2">
        <f>_dat80[[#This Row],[S0]]-AVERAGE($R$2:$R$5)</f>
        <v>-7.1690436126600685E-3</v>
      </c>
    </row>
    <row r="156" spans="1:19" x14ac:dyDescent="0.35">
      <c r="A156">
        <v>1988</v>
      </c>
      <c r="B156" s="1">
        <f>DATE(_dat80[[#This Row],[Year]],_dat80[[#This Row],[Quarter]]*3-1,15)</f>
        <v>32370</v>
      </c>
      <c r="C156" s="2">
        <f>_dat80[[#This Row],[Year]]+(_dat80[[#This Row],[Quarter]]-1)/4+1/8</f>
        <v>1988.625</v>
      </c>
      <c r="D156" s="2">
        <f>_dat80[[#This Row],[DecDate]]^2</f>
        <v>3954629.390625</v>
      </c>
      <c r="E156">
        <v>3</v>
      </c>
      <c r="F156">
        <v>1095</v>
      </c>
      <c r="G156">
        <f>LN(_dat80[[#This Row],[Expenditure]])</f>
        <v>6.9985096422506015</v>
      </c>
      <c r="H156">
        <f>_dat80[[#This Row],[LOG(Expenditure 80)]]-G155</f>
        <v>3.1542503636618591E-2</v>
      </c>
      <c r="I156">
        <f>(1+(_dat80[[#This Row],[Expenditure]]-F155)/F155)^12-1</f>
        <v>0.46010747151731901</v>
      </c>
      <c r="J156" s="2">
        <f>$W$17+$W$18*_dat80[[#This Row],[DecDate]]</f>
        <v>1089.0914759526113</v>
      </c>
      <c r="K156" s="2">
        <f>$W$40+$W$41*_dat80[[#This Row],[DecDate]]+_dat80[[#This Row],[DecDate^2]]*$W$42</f>
        <v>1077.3146614894067</v>
      </c>
      <c r="L156" s="2">
        <f>$AG$17+_dat80[[#This Row],[DecDate]]*$AG$18</f>
        <v>6.982075147932572</v>
      </c>
      <c r="M156" s="2">
        <f>$AG$40+$AG$41*_dat80[[#This Row],[DecDate]]+_dat80[[#This Row],[DecDate^2]]*$AG$42</f>
        <v>6.9817766603402704</v>
      </c>
      <c r="N156" s="2">
        <f>_dat80[[#This Row],[LOG(Expenditure 80)]]-_dat80[[#This Row],[Linear Trend LOG]]</f>
        <v>1.6434494318029458E-2</v>
      </c>
      <c r="O156" s="2">
        <f t="shared" si="2"/>
        <v>5.8272279260801699E-3</v>
      </c>
      <c r="P156" s="2">
        <f>_dat80[[#This Row],[Cycle 80]]+_dat80[[#This Row],[Linear Trend LOG]]</f>
        <v>6.9879023758586518</v>
      </c>
      <c r="Q156" s="2">
        <f>_dat80[[#This Row],[Detrend(Linear)]]-_dat80[[#This Row],[Cycle 80]]</f>
        <v>1.0607266391949288E-2</v>
      </c>
      <c r="R156" s="2">
        <f>AVERAGEIF(_dat80[Quarter],_dat80[[#This Row],[Quarter]],_dat80[High Frequency])</f>
        <v>3.946848336706609E-3</v>
      </c>
      <c r="S156" s="2">
        <f>_dat80[[#This Row],[S0]]-AVERAGE($R$2:$R$5)</f>
        <v>3.8920300735566758E-3</v>
      </c>
    </row>
    <row r="157" spans="1:19" x14ac:dyDescent="0.35">
      <c r="A157">
        <v>1988</v>
      </c>
      <c r="B157" s="1">
        <f>DATE(_dat80[[#This Row],[Year]],_dat80[[#This Row],[Quarter]]*3-1,15)</f>
        <v>32462</v>
      </c>
      <c r="C157" s="2">
        <f>_dat80[[#This Row],[Year]]+(_dat80[[#This Row],[Quarter]]-1)/4+1/8</f>
        <v>1988.875</v>
      </c>
      <c r="D157" s="2">
        <f>_dat80[[#This Row],[DecDate]]^2</f>
        <v>3955623.765625</v>
      </c>
      <c r="E157">
        <v>4</v>
      </c>
      <c r="F157">
        <v>1043</v>
      </c>
      <c r="G157">
        <f>LN(_dat80[[#This Row],[Expenditure]])</f>
        <v>6.9498564550007726</v>
      </c>
      <c r="H157">
        <f>_dat80[[#This Row],[LOG(Expenditure 80)]]-G156</f>
        <v>-4.8653187249828811E-2</v>
      </c>
      <c r="I157">
        <f>(1+(_dat80[[#This Row],[Expenditure]]-F156)/F156)^12-1</f>
        <v>-0.44224654268022712</v>
      </c>
      <c r="J157" s="2">
        <f>$W$17+$W$18*_dat80[[#This Row],[DecDate]]</f>
        <v>1091.0156954372706</v>
      </c>
      <c r="K157" s="2">
        <f>$W$40+$W$41*_dat80[[#This Row],[DecDate]]+_dat80[[#This Row],[DecDate^2]]*$W$42</f>
        <v>1079.2855218234326</v>
      </c>
      <c r="L157" s="2">
        <f>$AG$17+_dat80[[#This Row],[DecDate]]*$AG$18</f>
        <v>6.9838905221049492</v>
      </c>
      <c r="M157" s="2">
        <f>$AG$40+$AG$41*_dat80[[#This Row],[DecDate]]+_dat80[[#This Row],[DecDate^2]]*$AG$42</f>
        <v>6.9835932166417258</v>
      </c>
      <c r="N157" s="2">
        <f>_dat80[[#This Row],[LOG(Expenditure 80)]]-_dat80[[#This Row],[Linear Trend LOG]]</f>
        <v>-3.4034067104176557E-2</v>
      </c>
      <c r="O157" s="2">
        <f t="shared" si="2"/>
        <v>-1.6949300993184479E-3</v>
      </c>
      <c r="P157" s="2">
        <f>_dat80[[#This Row],[Cycle 80]]+_dat80[[#This Row],[Linear Trend LOG]]</f>
        <v>6.9821955920056311</v>
      </c>
      <c r="Q157" s="2">
        <f>_dat80[[#This Row],[Detrend(Linear)]]-_dat80[[#This Row],[Cycle 80]]</f>
        <v>-3.2339137004858111E-2</v>
      </c>
      <c r="R157" s="2">
        <f>AVERAGEIF(_dat80[Quarter],_dat80[[#This Row],[Quarter]],_dat80[High Frequency])</f>
        <v>-2.9622809170614002E-2</v>
      </c>
      <c r="S157" s="2">
        <f>_dat80[[#This Row],[S0]]-AVERAGE($R$2:$R$5)</f>
        <v>-2.9677627433763936E-2</v>
      </c>
    </row>
    <row r="158" spans="1:19" x14ac:dyDescent="0.35">
      <c r="A158">
        <v>1989</v>
      </c>
      <c r="B158" s="1">
        <f>DATE(_dat80[[#This Row],[Year]],_dat80[[#This Row],[Quarter]]*3-1,15)</f>
        <v>32554</v>
      </c>
      <c r="C158" s="2">
        <f>_dat80[[#This Row],[Year]]+(_dat80[[#This Row],[Quarter]]-1)/4+1/8</f>
        <v>1989.125</v>
      </c>
      <c r="D158" s="2">
        <f>_dat80[[#This Row],[DecDate]]^2</f>
        <v>3956618.265625</v>
      </c>
      <c r="E158">
        <v>1</v>
      </c>
      <c r="F158">
        <v>1118</v>
      </c>
      <c r="G158">
        <f>LN(_dat80[[#This Row],[Expenditure]])</f>
        <v>7.0192966537150445</v>
      </c>
      <c r="H158">
        <f>_dat80[[#This Row],[LOG(Expenditure 80)]]-G157</f>
        <v>6.9440198714271872E-2</v>
      </c>
      <c r="I158">
        <f>(1+(_dat80[[#This Row],[Expenditure]]-F157)/F157)^12-1</f>
        <v>1.3008586620059912</v>
      </c>
      <c r="J158" s="2">
        <f>$W$17+$W$18*_dat80[[#This Row],[DecDate]]</f>
        <v>1092.9399149219298</v>
      </c>
      <c r="K158" s="2">
        <f>$W$40+$W$41*_dat80[[#This Row],[DecDate]]+_dat80[[#This Row],[DecDate^2]]*$W$42</f>
        <v>1081.2599699151033</v>
      </c>
      <c r="L158" s="2">
        <f>$AG$17+_dat80[[#This Row],[DecDate]]*$AG$18</f>
        <v>6.9857058962773246</v>
      </c>
      <c r="M158" s="2">
        <f>$AG$40+$AG$41*_dat80[[#This Row],[DecDate]]+_dat80[[#This Row],[DecDate^2]]*$AG$42</f>
        <v>6.9854098638761872</v>
      </c>
      <c r="N158" s="2">
        <f>_dat80[[#This Row],[LOG(Expenditure 80)]]-_dat80[[#This Row],[Linear Trend LOG]]</f>
        <v>3.3590757437719887E-2</v>
      </c>
      <c r="O158" s="2">
        <f t="shared" si="2"/>
        <v>2.4325656408159093E-3</v>
      </c>
      <c r="P158" s="2">
        <f>_dat80[[#This Row],[Cycle 80]]+_dat80[[#This Row],[Linear Trend LOG]]</f>
        <v>6.9881384619181404</v>
      </c>
      <c r="Q158" s="2">
        <f>_dat80[[#This Row],[Detrend(Linear)]]-_dat80[[#This Row],[Cycle 80]]</f>
        <v>3.1158191796903979E-2</v>
      </c>
      <c r="R158" s="2">
        <f>AVERAGEIF(_dat80[Quarter],_dat80[[#This Row],[Quarter]],_dat80[High Frequency])</f>
        <v>3.3009459236017259E-2</v>
      </c>
      <c r="S158" s="2">
        <f>_dat80[[#This Row],[S0]]-AVERAGE($R$2:$R$5)</f>
        <v>3.2954640972867329E-2</v>
      </c>
    </row>
    <row r="159" spans="1:19" x14ac:dyDescent="0.35">
      <c r="A159">
        <v>1989</v>
      </c>
      <c r="B159" s="1">
        <f>DATE(_dat80[[#This Row],[Year]],_dat80[[#This Row],[Quarter]]*3-1,15)</f>
        <v>32643</v>
      </c>
      <c r="C159" s="2">
        <f>_dat80[[#This Row],[Year]]+(_dat80[[#This Row],[Quarter]]-1)/4+1/8</f>
        <v>1989.375</v>
      </c>
      <c r="D159" s="2">
        <f>_dat80[[#This Row],[DecDate]]^2</f>
        <v>3957612.890625</v>
      </c>
      <c r="E159">
        <v>2</v>
      </c>
      <c r="F159">
        <v>1071</v>
      </c>
      <c r="G159">
        <f>LN(_dat80[[#This Row],[Expenditure]])</f>
        <v>6.9763480704477487</v>
      </c>
      <c r="H159">
        <f>_dat80[[#This Row],[LOG(Expenditure 80)]]-G158</f>
        <v>-4.2948583267295781E-2</v>
      </c>
      <c r="I159">
        <f>(1+(_dat80[[#This Row],[Expenditure]]-F158)/F158)^12-1</f>
        <v>-0.40272820381840402</v>
      </c>
      <c r="J159" s="2">
        <f>$W$17+$W$18*_dat80[[#This Row],[DecDate]]</f>
        <v>1094.8641344065891</v>
      </c>
      <c r="K159" s="2">
        <f>$W$40+$W$41*_dat80[[#This Row],[DecDate]]+_dat80[[#This Row],[DecDate^2]]*$W$42</f>
        <v>1083.2380057643895</v>
      </c>
      <c r="L159" s="2">
        <f>$AG$17+_dat80[[#This Row],[DecDate]]*$AG$18</f>
        <v>6.9875212704497018</v>
      </c>
      <c r="M159" s="2">
        <f>$AG$40+$AG$41*_dat80[[#This Row],[DecDate]]+_dat80[[#This Row],[DecDate^2]]*$AG$42</f>
        <v>6.9872266020436555</v>
      </c>
      <c r="N159" s="2">
        <f>_dat80[[#This Row],[LOG(Expenditure 80)]]-_dat80[[#This Row],[Linear Trend LOG]]</f>
        <v>-1.1173200001953099E-2</v>
      </c>
      <c r="O159" s="2">
        <f t="shared" si="2"/>
        <v>-7.3950583221497725E-3</v>
      </c>
      <c r="P159" s="2">
        <f>_dat80[[#This Row],[Cycle 80]]+_dat80[[#This Row],[Linear Trend LOG]]</f>
        <v>6.9801262121275522</v>
      </c>
      <c r="Q159" s="2">
        <f>_dat80[[#This Row],[Detrend(Linear)]]-_dat80[[#This Row],[Cycle 80]]</f>
        <v>-3.7781416798033261E-3</v>
      </c>
      <c r="R159" s="2">
        <f>AVERAGEIF(_dat80[Quarter],_dat80[[#This Row],[Quarter]],_dat80[High Frequency])</f>
        <v>-7.1142253495101353E-3</v>
      </c>
      <c r="S159" s="2">
        <f>_dat80[[#This Row],[S0]]-AVERAGE($R$2:$R$5)</f>
        <v>-7.1690436126600685E-3</v>
      </c>
    </row>
    <row r="160" spans="1:19" x14ac:dyDescent="0.35">
      <c r="A160">
        <v>1989</v>
      </c>
      <c r="B160" s="1">
        <f>DATE(_dat80[[#This Row],[Year]],_dat80[[#This Row],[Quarter]]*3-1,15)</f>
        <v>32735</v>
      </c>
      <c r="C160" s="2">
        <f>_dat80[[#This Row],[Year]]+(_dat80[[#This Row],[Quarter]]-1)/4+1/8</f>
        <v>1989.625</v>
      </c>
      <c r="D160" s="2">
        <f>_dat80[[#This Row],[DecDate]]^2</f>
        <v>3958607.640625</v>
      </c>
      <c r="E160">
        <v>3</v>
      </c>
      <c r="F160">
        <v>1093</v>
      </c>
      <c r="G160">
        <f>LN(_dat80[[#This Row],[Expenditure]])</f>
        <v>6.9966814881765389</v>
      </c>
      <c r="H160">
        <f>_dat80[[#This Row],[LOG(Expenditure 80)]]-G159</f>
        <v>2.033341772879016E-2</v>
      </c>
      <c r="I160">
        <f>(1+(_dat80[[#This Row],[Expenditure]]-F159)/F159)^12-1</f>
        <v>0.27634562310205557</v>
      </c>
      <c r="J160" s="2">
        <f>$W$17+$W$18*_dat80[[#This Row],[DecDate]]</f>
        <v>1096.7883538912483</v>
      </c>
      <c r="K160" s="2">
        <f>$W$40+$W$41*_dat80[[#This Row],[DecDate]]+_dat80[[#This Row],[DecDate^2]]*$W$42</f>
        <v>1085.219629371335</v>
      </c>
      <c r="L160" s="2">
        <f>$AG$17+_dat80[[#This Row],[DecDate]]*$AG$18</f>
        <v>6.989336644622079</v>
      </c>
      <c r="M160" s="2">
        <f>$AG$40+$AG$41*_dat80[[#This Row],[DecDate]]+_dat80[[#This Row],[DecDate^2]]*$AG$42</f>
        <v>6.9890434311441272</v>
      </c>
      <c r="N160" s="2">
        <f>_dat80[[#This Row],[LOG(Expenditure 80)]]-_dat80[[#This Row],[Linear Trend LOG]]</f>
        <v>7.3448435544598567E-3</v>
      </c>
      <c r="O160" s="2">
        <f t="shared" si="2"/>
        <v>6.2811793132745205E-3</v>
      </c>
      <c r="P160" s="2">
        <f>_dat80[[#This Row],[Cycle 80]]+_dat80[[#This Row],[Linear Trend LOG]]</f>
        <v>6.9956178239353539</v>
      </c>
      <c r="Q160" s="2">
        <f>_dat80[[#This Row],[Detrend(Linear)]]-_dat80[[#This Row],[Cycle 80]]</f>
        <v>1.0636642411853362E-3</v>
      </c>
      <c r="R160" s="2">
        <f>AVERAGEIF(_dat80[Quarter],_dat80[[#This Row],[Quarter]],_dat80[High Frequency])</f>
        <v>3.946848336706609E-3</v>
      </c>
      <c r="S160" s="2">
        <f>_dat80[[#This Row],[S0]]-AVERAGE($R$2:$R$5)</f>
        <v>3.8920300735566758E-3</v>
      </c>
    </row>
    <row r="161" spans="1:19" x14ac:dyDescent="0.35">
      <c r="A161">
        <v>1989</v>
      </c>
      <c r="B161" s="1">
        <f>DATE(_dat80[[#This Row],[Year]],_dat80[[#This Row],[Quarter]]*3-1,15)</f>
        <v>32827</v>
      </c>
      <c r="C161" s="2">
        <f>_dat80[[#This Row],[Year]]+(_dat80[[#This Row],[Quarter]]-1)/4+1/8</f>
        <v>1989.875</v>
      </c>
      <c r="D161" s="2">
        <f>_dat80[[#This Row],[DecDate]]^2</f>
        <v>3959602.515625</v>
      </c>
      <c r="E161">
        <v>4</v>
      </c>
      <c r="F161">
        <v>1052</v>
      </c>
      <c r="G161">
        <f>LN(_dat80[[#This Row],[Expenditure]])</f>
        <v>6.9584483932976555</v>
      </c>
      <c r="H161">
        <f>_dat80[[#This Row],[LOG(Expenditure 80)]]-G160</f>
        <v>-3.8233094878883378E-2</v>
      </c>
      <c r="I161">
        <f>(1+(_dat80[[#This Row],[Expenditure]]-F160)/F160)^12-1</f>
        <v>-0.36795655085208823</v>
      </c>
      <c r="J161" s="2">
        <f>$W$17+$W$18*_dat80[[#This Row],[DecDate]]</f>
        <v>1098.7125733759094</v>
      </c>
      <c r="K161" s="2">
        <f>$W$40+$W$41*_dat80[[#This Row],[DecDate]]+_dat80[[#This Row],[DecDate^2]]*$W$42</f>
        <v>1087.2048407359398</v>
      </c>
      <c r="L161" s="2">
        <f>$AG$17+_dat80[[#This Row],[DecDate]]*$AG$18</f>
        <v>6.9911520187944545</v>
      </c>
      <c r="M161" s="2">
        <f>$AG$40+$AG$41*_dat80[[#This Row],[DecDate]]+_dat80[[#This Row],[DecDate^2]]*$AG$42</f>
        <v>6.9908603511776057</v>
      </c>
      <c r="N161" s="2">
        <f>_dat80[[#This Row],[LOG(Expenditure 80)]]-_dat80[[#This Row],[Linear Trend LOG]]</f>
        <v>-3.2703625496798949E-2</v>
      </c>
      <c r="O161" s="2">
        <f t="shared" si="2"/>
        <v>-3.3783374897586428E-3</v>
      </c>
      <c r="P161" s="2">
        <f>_dat80[[#This Row],[Cycle 80]]+_dat80[[#This Row],[Linear Trend LOG]]</f>
        <v>6.987773681304696</v>
      </c>
      <c r="Q161" s="2">
        <f>_dat80[[#This Row],[Detrend(Linear)]]-_dat80[[#This Row],[Cycle 80]]</f>
        <v>-2.9325288007040307E-2</v>
      </c>
      <c r="R161" s="2">
        <f>AVERAGEIF(_dat80[Quarter],_dat80[[#This Row],[Quarter]],_dat80[High Frequency])</f>
        <v>-2.9622809170614002E-2</v>
      </c>
      <c r="S161" s="2">
        <f>_dat80[[#This Row],[S0]]-AVERAGE($R$2:$R$5)</f>
        <v>-2.9677627433763936E-2</v>
      </c>
    </row>
    <row r="162" spans="1:19" x14ac:dyDescent="0.35">
      <c r="A162">
        <v>1990</v>
      </c>
      <c r="B162" s="1">
        <f>DATE(_dat80[[#This Row],[Year]],_dat80[[#This Row],[Quarter]]*3-1,15)</f>
        <v>32919</v>
      </c>
      <c r="C162" s="2">
        <f>_dat80[[#This Row],[Year]]+(_dat80[[#This Row],[Quarter]]-1)/4+1/8</f>
        <v>1990.125</v>
      </c>
      <c r="D162" s="2">
        <f>_dat80[[#This Row],[DecDate]]^2</f>
        <v>3960597.515625</v>
      </c>
      <c r="E162">
        <v>1</v>
      </c>
      <c r="F162">
        <v>1127</v>
      </c>
      <c r="G162">
        <f>LN(_dat80[[#This Row],[Expenditure]])</f>
        <v>7.0273145140397766</v>
      </c>
      <c r="H162">
        <f>_dat80[[#This Row],[LOG(Expenditure 80)]]-G161</f>
        <v>6.8866120742121062E-2</v>
      </c>
      <c r="I162">
        <f>(1+(_dat80[[#This Row],[Expenditure]]-F161)/F161)^12-1</f>
        <v>1.2850626659772555</v>
      </c>
      <c r="J162" s="2">
        <f>$W$17+$W$18*_dat80[[#This Row],[DecDate]]</f>
        <v>1100.6367928605687</v>
      </c>
      <c r="K162" s="2">
        <f>$W$40+$W$41*_dat80[[#This Row],[DecDate]]+_dat80[[#This Row],[DecDate^2]]*$W$42</f>
        <v>1089.1936398581747</v>
      </c>
      <c r="L162" s="2">
        <f>$AG$17+_dat80[[#This Row],[DecDate]]*$AG$18</f>
        <v>6.9929673929668317</v>
      </c>
      <c r="M162" s="2">
        <f>$AG$40+$AG$41*_dat80[[#This Row],[DecDate]]+_dat80[[#This Row],[DecDate^2]]*$AG$42</f>
        <v>6.992677362144093</v>
      </c>
      <c r="N162" s="2">
        <f>_dat80[[#This Row],[LOG(Expenditure 80)]]-_dat80[[#This Row],[Linear Trend LOG]]</f>
        <v>3.4347121072944908E-2</v>
      </c>
      <c r="O162" s="2">
        <f t="shared" si="2"/>
        <v>8.7571961572283639E-4</v>
      </c>
      <c r="P162" s="2">
        <f>_dat80[[#This Row],[Cycle 80]]+_dat80[[#This Row],[Linear Trend LOG]]</f>
        <v>6.9938431125825549</v>
      </c>
      <c r="Q162" s="2">
        <f>_dat80[[#This Row],[Detrend(Linear)]]-_dat80[[#This Row],[Cycle 80]]</f>
        <v>3.3471401457222071E-2</v>
      </c>
      <c r="R162" s="2">
        <f>AVERAGEIF(_dat80[Quarter],_dat80[[#This Row],[Quarter]],_dat80[High Frequency])</f>
        <v>3.3009459236017259E-2</v>
      </c>
      <c r="S162" s="2">
        <f>_dat80[[#This Row],[S0]]-AVERAGE($R$2:$R$5)</f>
        <v>3.2954640972867329E-2</v>
      </c>
    </row>
    <row r="163" spans="1:19" x14ac:dyDescent="0.35">
      <c r="A163">
        <v>1990</v>
      </c>
      <c r="B163" s="1">
        <f>DATE(_dat80[[#This Row],[Year]],_dat80[[#This Row],[Quarter]]*3-1,15)</f>
        <v>33008</v>
      </c>
      <c r="C163" s="2">
        <f>_dat80[[#This Row],[Year]]+(_dat80[[#This Row],[Quarter]]-1)/4+1/8</f>
        <v>1990.375</v>
      </c>
      <c r="D163" s="2">
        <f>_dat80[[#This Row],[DecDate]]^2</f>
        <v>3961592.640625</v>
      </c>
      <c r="E163">
        <v>2</v>
      </c>
      <c r="F163">
        <v>1075</v>
      </c>
      <c r="G163">
        <f>LN(_dat80[[#This Row],[Expenditure]])</f>
        <v>6.9800759405617629</v>
      </c>
      <c r="H163">
        <f>_dat80[[#This Row],[LOG(Expenditure 80)]]-G162</f>
        <v>-4.7238573478013635E-2</v>
      </c>
      <c r="I163">
        <f>(1+(_dat80[[#This Row],[Expenditure]]-F162)/F162)^12-1</f>
        <v>-0.43269765539335059</v>
      </c>
      <c r="J163" s="2">
        <f>$W$17+$W$18*_dat80[[#This Row],[DecDate]]</f>
        <v>1102.5610123452279</v>
      </c>
      <c r="K163" s="2">
        <f>$W$40+$W$41*_dat80[[#This Row],[DecDate]]+_dat80[[#This Row],[DecDate^2]]*$W$42</f>
        <v>1091.1860267380544</v>
      </c>
      <c r="L163" s="2">
        <f>$AG$17+_dat80[[#This Row],[DecDate]]*$AG$18</f>
        <v>6.9947827671392089</v>
      </c>
      <c r="M163" s="2">
        <f>$AG$40+$AG$41*_dat80[[#This Row],[DecDate]]+_dat80[[#This Row],[DecDate^2]]*$AG$42</f>
        <v>6.9944944640435835</v>
      </c>
      <c r="N163" s="2">
        <f>_dat80[[#This Row],[LOG(Expenditure 80)]]-_dat80[[#This Row],[Linear Trend LOG]]</f>
        <v>-1.4706826577445931E-2</v>
      </c>
      <c r="O163" s="2">
        <f t="shared" si="2"/>
        <v>-5.3801699869524102E-3</v>
      </c>
      <c r="P163" s="2">
        <f>_dat80[[#This Row],[Cycle 80]]+_dat80[[#This Row],[Linear Trend LOG]]</f>
        <v>6.9894025971522566</v>
      </c>
      <c r="Q163" s="2">
        <f>_dat80[[#This Row],[Detrend(Linear)]]-_dat80[[#This Row],[Cycle 80]]</f>
        <v>-9.3266565904935213E-3</v>
      </c>
      <c r="R163" s="2">
        <f>AVERAGEIF(_dat80[Quarter],_dat80[[#This Row],[Quarter]],_dat80[High Frequency])</f>
        <v>-7.1142253495101353E-3</v>
      </c>
      <c r="S163" s="2">
        <f>_dat80[[#This Row],[S0]]-AVERAGE($R$2:$R$5)</f>
        <v>-7.1690436126600685E-3</v>
      </c>
    </row>
    <row r="164" spans="1:19" x14ac:dyDescent="0.35">
      <c r="A164">
        <v>1990</v>
      </c>
      <c r="B164" s="1">
        <f>DATE(_dat80[[#This Row],[Year]],_dat80[[#This Row],[Quarter]]*3-1,15)</f>
        <v>33100</v>
      </c>
      <c r="C164" s="2">
        <f>_dat80[[#This Row],[Year]]+(_dat80[[#This Row],[Quarter]]-1)/4+1/8</f>
        <v>1990.625</v>
      </c>
      <c r="D164" s="2">
        <f>_dat80[[#This Row],[DecDate]]^2</f>
        <v>3962587.890625</v>
      </c>
      <c r="E164">
        <v>3</v>
      </c>
      <c r="F164">
        <v>1104</v>
      </c>
      <c r="G164">
        <f>LN(_dat80[[#This Row],[Expenditure]])</f>
        <v>7.0066952268370404</v>
      </c>
      <c r="H164">
        <f>_dat80[[#This Row],[LOG(Expenditure 80)]]-G163</f>
        <v>2.6619286275277432E-2</v>
      </c>
      <c r="I164">
        <f>(1+(_dat80[[#This Row],[Expenditure]]-F163)/F163)^12-1</f>
        <v>0.37634500065333443</v>
      </c>
      <c r="J164" s="2">
        <f>$W$17+$W$18*_dat80[[#This Row],[DecDate]]</f>
        <v>1104.4852318298872</v>
      </c>
      <c r="K164" s="2">
        <f>$W$40+$W$41*_dat80[[#This Row],[DecDate]]+_dat80[[#This Row],[DecDate^2]]*$W$42</f>
        <v>1093.1820013755496</v>
      </c>
      <c r="L164" s="2">
        <f>$AG$17+_dat80[[#This Row],[DecDate]]*$AG$18</f>
        <v>6.9965981413115861</v>
      </c>
      <c r="M164" s="2">
        <f>$AG$40+$AG$41*_dat80[[#This Row],[DecDate]]+_dat80[[#This Row],[DecDate^2]]*$AG$42</f>
        <v>6.996311656876081</v>
      </c>
      <c r="N164" s="2">
        <f>_dat80[[#This Row],[LOG(Expenditure 80)]]-_dat80[[#This Row],[Linear Trend LOG]]</f>
        <v>1.0097085525454297E-2</v>
      </c>
      <c r="O164" s="2">
        <f t="shared" si="2"/>
        <v>7.286272404363814E-3</v>
      </c>
      <c r="P164" s="2">
        <f>_dat80[[#This Row],[Cycle 80]]+_dat80[[#This Row],[Linear Trend LOG]]</f>
        <v>7.0038844137159497</v>
      </c>
      <c r="Q164" s="2">
        <f>_dat80[[#This Row],[Detrend(Linear)]]-_dat80[[#This Row],[Cycle 80]]</f>
        <v>2.8108131210904828E-3</v>
      </c>
      <c r="R164" s="2">
        <f>AVERAGEIF(_dat80[Quarter],_dat80[[#This Row],[Quarter]],_dat80[High Frequency])</f>
        <v>3.946848336706609E-3</v>
      </c>
      <c r="S164" s="2">
        <f>_dat80[[#This Row],[S0]]-AVERAGE($R$2:$R$5)</f>
        <v>3.8920300735566758E-3</v>
      </c>
    </row>
    <row r="165" spans="1:19" x14ac:dyDescent="0.35">
      <c r="A165">
        <v>1990</v>
      </c>
      <c r="B165" s="1">
        <f>DATE(_dat80[[#This Row],[Year]],_dat80[[#This Row],[Quarter]]*3-1,15)</f>
        <v>33192</v>
      </c>
      <c r="C165" s="2">
        <f>_dat80[[#This Row],[Year]]+(_dat80[[#This Row],[Quarter]]-1)/4+1/8</f>
        <v>1990.875</v>
      </c>
      <c r="D165" s="2">
        <f>_dat80[[#This Row],[DecDate]]^2</f>
        <v>3963583.265625</v>
      </c>
      <c r="E165">
        <v>4</v>
      </c>
      <c r="F165">
        <v>1069</v>
      </c>
      <c r="G165">
        <f>LN(_dat80[[#This Row],[Expenditure]])</f>
        <v>6.9744789110250451</v>
      </c>
      <c r="H165">
        <f>_dat80[[#This Row],[LOG(Expenditure 80)]]-G164</f>
        <v>-3.2216315811995244E-2</v>
      </c>
      <c r="I165">
        <f>(1+(_dat80[[#This Row],[Expenditure]]-F164)/F164)^12-1</f>
        <v>-0.32063435400355711</v>
      </c>
      <c r="J165" s="2">
        <f>$W$17+$W$18*_dat80[[#This Row],[DecDate]]</f>
        <v>1106.4094513145465</v>
      </c>
      <c r="K165" s="2">
        <f>$W$40+$W$41*_dat80[[#This Row],[DecDate]]+_dat80[[#This Row],[DecDate^2]]*$W$42</f>
        <v>1095.1815637707186</v>
      </c>
      <c r="L165" s="2">
        <f>$AG$17+_dat80[[#This Row],[DecDate]]*$AG$18</f>
        <v>6.9984135154839615</v>
      </c>
      <c r="M165" s="2">
        <f>$AG$40+$AG$41*_dat80[[#This Row],[DecDate]]+_dat80[[#This Row],[DecDate^2]]*$AG$42</f>
        <v>6.9981289406415836</v>
      </c>
      <c r="N165" s="2">
        <f>_dat80[[#This Row],[LOG(Expenditure 80)]]-_dat80[[#This Row],[Linear Trend LOG]]</f>
        <v>-2.3934604458916375E-2</v>
      </c>
      <c r="O165" s="2">
        <f t="shared" si="2"/>
        <v>-3.4194542821799345E-3</v>
      </c>
      <c r="P165" s="2">
        <f>_dat80[[#This Row],[Cycle 80]]+_dat80[[#This Row],[Linear Trend LOG]]</f>
        <v>6.9949940612017816</v>
      </c>
      <c r="Q165" s="2">
        <f>_dat80[[#This Row],[Detrend(Linear)]]-_dat80[[#This Row],[Cycle 80]]</f>
        <v>-2.0515150176736441E-2</v>
      </c>
      <c r="R165" s="2">
        <f>AVERAGEIF(_dat80[Quarter],_dat80[[#This Row],[Quarter]],_dat80[High Frequency])</f>
        <v>-2.9622809170614002E-2</v>
      </c>
      <c r="S165" s="2">
        <f>_dat80[[#This Row],[S0]]-AVERAGE($R$2:$R$5)</f>
        <v>-2.9677627433763936E-2</v>
      </c>
    </row>
    <row r="166" spans="1:19" x14ac:dyDescent="0.35">
      <c r="A166">
        <v>1991</v>
      </c>
      <c r="B166" s="1">
        <f>DATE(_dat80[[#This Row],[Year]],_dat80[[#This Row],[Quarter]]*3-1,15)</f>
        <v>33284</v>
      </c>
      <c r="C166" s="2">
        <f>_dat80[[#This Row],[Year]]+(_dat80[[#This Row],[Quarter]]-1)/4+1/8</f>
        <v>1991.125</v>
      </c>
      <c r="D166" s="2">
        <f>_dat80[[#This Row],[DecDate]]^2</f>
        <v>3964578.765625</v>
      </c>
      <c r="E166">
        <v>1</v>
      </c>
      <c r="F166">
        <v>1131</v>
      </c>
      <c r="G166">
        <f>LN(_dat80[[#This Row],[Expenditure]])</f>
        <v>7.0308574761161209</v>
      </c>
      <c r="H166">
        <f>_dat80[[#This Row],[LOG(Expenditure 80)]]-G165</f>
        <v>5.637856509107575E-2</v>
      </c>
      <c r="I166">
        <f>(1+(_dat80[[#This Row],[Expenditure]]-F165)/F165)^12-1</f>
        <v>0.9670653874831141</v>
      </c>
      <c r="J166" s="2">
        <f>$W$17+$W$18*_dat80[[#This Row],[DecDate]]</f>
        <v>1108.3336707992057</v>
      </c>
      <c r="K166" s="2">
        <f>$W$40+$W$41*_dat80[[#This Row],[DecDate]]+_dat80[[#This Row],[DecDate^2]]*$W$42</f>
        <v>1097.1847139235324</v>
      </c>
      <c r="L166" s="2">
        <f>$AG$17+_dat80[[#This Row],[DecDate]]*$AG$18</f>
        <v>7.0002288896563387</v>
      </c>
      <c r="M166" s="2">
        <f>$AG$40+$AG$41*_dat80[[#This Row],[DecDate]]+_dat80[[#This Row],[DecDate^2]]*$AG$42</f>
        <v>6.9999463153400932</v>
      </c>
      <c r="N166" s="2">
        <f>_dat80[[#This Row],[LOG(Expenditure 80)]]-_dat80[[#This Row],[Linear Trend LOG]]</f>
        <v>3.062858645978217E-2</v>
      </c>
      <c r="O166" s="2">
        <f t="shared" si="2"/>
        <v>9.9278090316445855E-4</v>
      </c>
      <c r="P166" s="2">
        <f>_dat80[[#This Row],[Cycle 80]]+_dat80[[#This Row],[Linear Trend LOG]]</f>
        <v>7.0012216705595032</v>
      </c>
      <c r="Q166" s="2">
        <f>_dat80[[#This Row],[Detrend(Linear)]]-_dat80[[#This Row],[Cycle 80]]</f>
        <v>2.9635805556617711E-2</v>
      </c>
      <c r="R166" s="2">
        <f>AVERAGEIF(_dat80[Quarter],_dat80[[#This Row],[Quarter]],_dat80[High Frequency])</f>
        <v>3.3009459236017259E-2</v>
      </c>
      <c r="S166" s="2">
        <f>_dat80[[#This Row],[S0]]-AVERAGE($R$2:$R$5)</f>
        <v>3.2954640972867329E-2</v>
      </c>
    </row>
    <row r="167" spans="1:19" x14ac:dyDescent="0.35">
      <c r="A167">
        <v>1991</v>
      </c>
      <c r="B167" s="1">
        <f>DATE(_dat80[[#This Row],[Year]],_dat80[[#This Row],[Quarter]]*3-1,15)</f>
        <v>33373</v>
      </c>
      <c r="C167" s="2">
        <f>_dat80[[#This Row],[Year]]+(_dat80[[#This Row],[Quarter]]-1)/4+1/8</f>
        <v>1991.375</v>
      </c>
      <c r="D167" s="2">
        <f>_dat80[[#This Row],[DecDate]]^2</f>
        <v>3965574.390625</v>
      </c>
      <c r="E167">
        <v>2</v>
      </c>
      <c r="F167">
        <v>1078</v>
      </c>
      <c r="G167">
        <f>LN(_dat80[[#This Row],[Expenditure]])</f>
        <v>6.9828627514689421</v>
      </c>
      <c r="H167">
        <f>_dat80[[#This Row],[LOG(Expenditure 80)]]-G166</f>
        <v>-4.7994724647178799E-2</v>
      </c>
      <c r="I167">
        <f>(1+(_dat80[[#This Row],[Expenditure]]-F166)/F166)^12-1</f>
        <v>-0.43782196767996551</v>
      </c>
      <c r="J167" s="2">
        <f>$W$17+$W$18*_dat80[[#This Row],[DecDate]]</f>
        <v>1110.257890283865</v>
      </c>
      <c r="K167" s="2">
        <f>$W$40+$W$41*_dat80[[#This Row],[DecDate]]+_dat80[[#This Row],[DecDate^2]]*$W$42</f>
        <v>1099.1914518339909</v>
      </c>
      <c r="L167" s="2">
        <f>$AG$17+_dat80[[#This Row],[DecDate]]*$AG$18</f>
        <v>7.0020442638287159</v>
      </c>
      <c r="M167" s="2">
        <f>$AG$40+$AG$41*_dat80[[#This Row],[DecDate]]+_dat80[[#This Row],[DecDate^2]]*$AG$42</f>
        <v>7.0017637809716096</v>
      </c>
      <c r="N167" s="2">
        <f>_dat80[[#This Row],[LOG(Expenditure 80)]]-_dat80[[#This Row],[Linear Trend LOG]]</f>
        <v>-1.9181512359773834E-2</v>
      </c>
      <c r="O167" s="2">
        <f t="shared" si="2"/>
        <v>-7.8279176914621829E-3</v>
      </c>
      <c r="P167" s="2">
        <f>_dat80[[#This Row],[Cycle 80]]+_dat80[[#This Row],[Linear Trend LOG]]</f>
        <v>6.9942163461372537</v>
      </c>
      <c r="Q167" s="2">
        <f>_dat80[[#This Row],[Detrend(Linear)]]-_dat80[[#This Row],[Cycle 80]]</f>
        <v>-1.1353594668311651E-2</v>
      </c>
      <c r="R167" s="2">
        <f>AVERAGEIF(_dat80[Quarter],_dat80[[#This Row],[Quarter]],_dat80[High Frequency])</f>
        <v>-7.1142253495101353E-3</v>
      </c>
      <c r="S167" s="2">
        <f>_dat80[[#This Row],[S0]]-AVERAGE($R$2:$R$5)</f>
        <v>-7.1690436126600685E-3</v>
      </c>
    </row>
    <row r="168" spans="1:19" x14ac:dyDescent="0.35">
      <c r="A168">
        <v>1991</v>
      </c>
      <c r="B168" s="1">
        <f>DATE(_dat80[[#This Row],[Year]],_dat80[[#This Row],[Quarter]]*3-1,15)</f>
        <v>33465</v>
      </c>
      <c r="C168" s="2">
        <f>_dat80[[#This Row],[Year]]+(_dat80[[#This Row],[Quarter]]-1)/4+1/8</f>
        <v>1991.625</v>
      </c>
      <c r="D168" s="2">
        <f>_dat80[[#This Row],[DecDate]]^2</f>
        <v>3966570.140625</v>
      </c>
      <c r="E168">
        <v>3</v>
      </c>
      <c r="F168">
        <v>1109</v>
      </c>
      <c r="G168">
        <f>LN(_dat80[[#This Row],[Expenditure]])</f>
        <v>7.0112139873503674</v>
      </c>
      <c r="H168">
        <f>_dat80[[#This Row],[LOG(Expenditure 80)]]-G167</f>
        <v>2.8351235881425296E-2</v>
      </c>
      <c r="I168">
        <f>(1+(_dat80[[#This Row],[Expenditure]]-F167)/F167)^12-1</f>
        <v>0.40524944868827828</v>
      </c>
      <c r="J168" s="2">
        <f>$W$17+$W$18*_dat80[[#This Row],[DecDate]]</f>
        <v>1112.1821097685242</v>
      </c>
      <c r="K168" s="2">
        <f>$W$40+$W$41*_dat80[[#This Row],[DecDate]]+_dat80[[#This Row],[DecDate^2]]*$W$42</f>
        <v>1101.2017775020649</v>
      </c>
      <c r="L168" s="2">
        <f>$AG$17+_dat80[[#This Row],[DecDate]]*$AG$18</f>
        <v>7.0038596380010913</v>
      </c>
      <c r="M168" s="2">
        <f>$AG$40+$AG$41*_dat80[[#This Row],[DecDate]]+_dat80[[#This Row],[DecDate^2]]*$AG$42</f>
        <v>7.0035813375361302</v>
      </c>
      <c r="N168" s="2">
        <f>_dat80[[#This Row],[LOG(Expenditure 80)]]-_dat80[[#This Row],[Linear Trend LOG]]</f>
        <v>7.3543493492760348E-3</v>
      </c>
      <c r="O168" s="2">
        <f t="shared" si="2"/>
        <v>3.0421186205883189E-3</v>
      </c>
      <c r="P168" s="2">
        <f>_dat80[[#This Row],[Cycle 80]]+_dat80[[#This Row],[Linear Trend LOG]]</f>
        <v>7.00690175662168</v>
      </c>
      <c r="Q168" s="2">
        <f>_dat80[[#This Row],[Detrend(Linear)]]-_dat80[[#This Row],[Cycle 80]]</f>
        <v>4.3122307286877163E-3</v>
      </c>
      <c r="R168" s="2">
        <f>AVERAGEIF(_dat80[Quarter],_dat80[[#This Row],[Quarter]],_dat80[High Frequency])</f>
        <v>3.946848336706609E-3</v>
      </c>
      <c r="S168" s="2">
        <f>_dat80[[#This Row],[S0]]-AVERAGE($R$2:$R$5)</f>
        <v>3.8920300735566758E-3</v>
      </c>
    </row>
    <row r="169" spans="1:19" x14ac:dyDescent="0.35">
      <c r="A169">
        <v>1991</v>
      </c>
      <c r="B169" s="1">
        <f>DATE(_dat80[[#This Row],[Year]],_dat80[[#This Row],[Quarter]]*3-1,15)</f>
        <v>33557</v>
      </c>
      <c r="C169" s="2">
        <f>_dat80[[#This Row],[Year]]+(_dat80[[#This Row],[Quarter]]-1)/4+1/8</f>
        <v>1991.875</v>
      </c>
      <c r="D169" s="2">
        <f>_dat80[[#This Row],[DecDate]]^2</f>
        <v>3967566.015625</v>
      </c>
      <c r="E169">
        <v>4</v>
      </c>
      <c r="F169">
        <v>1066</v>
      </c>
      <c r="G169">
        <f>LN(_dat80[[#This Row],[Expenditure]])</f>
        <v>6.9716686047257896</v>
      </c>
      <c r="H169">
        <f>_dat80[[#This Row],[LOG(Expenditure 80)]]-G168</f>
        <v>-3.9545382624577741E-2</v>
      </c>
      <c r="I169">
        <f>(1+(_dat80[[#This Row],[Expenditure]]-F168)/F168)^12-1</f>
        <v>-0.37783166729277839</v>
      </c>
      <c r="J169" s="2">
        <f>$W$17+$W$18*_dat80[[#This Row],[DecDate]]</f>
        <v>1114.1063292531853</v>
      </c>
      <c r="K169" s="2">
        <f>$W$40+$W$41*_dat80[[#This Row],[DecDate]]+_dat80[[#This Row],[DecDate^2]]*$W$42</f>
        <v>1103.2156909277983</v>
      </c>
      <c r="L169" s="2">
        <f>$AG$17+_dat80[[#This Row],[DecDate]]*$AG$18</f>
        <v>7.0056750121734686</v>
      </c>
      <c r="M169" s="2">
        <f>$AG$40+$AG$41*_dat80[[#This Row],[DecDate]]+_dat80[[#This Row],[DecDate^2]]*$AG$42</f>
        <v>7.0053989850336587</v>
      </c>
      <c r="N169" s="2">
        <f>_dat80[[#This Row],[LOG(Expenditure 80)]]-_dat80[[#This Row],[Linear Trend LOG]]</f>
        <v>-3.400640744767891E-2</v>
      </c>
      <c r="O169" s="2">
        <f t="shared" si="2"/>
        <v>-5.0602572734204541E-3</v>
      </c>
      <c r="P169" s="2">
        <f>_dat80[[#This Row],[Cycle 80]]+_dat80[[#This Row],[Linear Trend LOG]]</f>
        <v>7.0006147549000479</v>
      </c>
      <c r="Q169" s="2">
        <f>_dat80[[#This Row],[Detrend(Linear)]]-_dat80[[#This Row],[Cycle 80]]</f>
        <v>-2.8946150174258455E-2</v>
      </c>
      <c r="R169" s="2">
        <f>AVERAGEIF(_dat80[Quarter],_dat80[[#This Row],[Quarter]],_dat80[High Frequency])</f>
        <v>-2.9622809170614002E-2</v>
      </c>
      <c r="S169" s="2">
        <f>_dat80[[#This Row],[S0]]-AVERAGE($R$2:$R$5)</f>
        <v>-2.9677627433763936E-2</v>
      </c>
    </row>
    <row r="170" spans="1:19" x14ac:dyDescent="0.35">
      <c r="A170">
        <v>1992</v>
      </c>
      <c r="B170" s="1">
        <f>DATE(_dat80[[#This Row],[Year]],_dat80[[#This Row],[Quarter]]*3-1,15)</f>
        <v>33649</v>
      </c>
      <c r="C170" s="2">
        <f>_dat80[[#This Row],[Year]]+(_dat80[[#This Row],[Quarter]]-1)/4+1/8</f>
        <v>1992.125</v>
      </c>
      <c r="D170" s="2">
        <f>_dat80[[#This Row],[DecDate]]^2</f>
        <v>3968562.015625</v>
      </c>
      <c r="E170">
        <v>1</v>
      </c>
      <c r="F170">
        <v>1139</v>
      </c>
      <c r="G170">
        <f>LN(_dat80[[#This Row],[Expenditure]])</f>
        <v>7.0379059634471819</v>
      </c>
      <c r="H170">
        <f>_dat80[[#This Row],[LOG(Expenditure 80)]]-G169</f>
        <v>6.6237358721392248E-2</v>
      </c>
      <c r="I170">
        <f>(1+(_dat80[[#This Row],[Expenditure]]-F169)/F169)^12-1</f>
        <v>1.2141051018943547</v>
      </c>
      <c r="J170" s="2">
        <f>$W$17+$W$18*_dat80[[#This Row],[DecDate]]</f>
        <v>1116.0305487378446</v>
      </c>
      <c r="K170" s="2">
        <f>$W$40+$W$41*_dat80[[#This Row],[DecDate]]+_dat80[[#This Row],[DecDate^2]]*$W$42</f>
        <v>1105.2331921111909</v>
      </c>
      <c r="L170" s="2">
        <f>$AG$17+_dat80[[#This Row],[DecDate]]*$AG$18</f>
        <v>7.0074903863458458</v>
      </c>
      <c r="M170" s="2">
        <f>$AG$40+$AG$41*_dat80[[#This Row],[DecDate]]+_dat80[[#This Row],[DecDate^2]]*$AG$42</f>
        <v>7.0072167234641913</v>
      </c>
      <c r="N170" s="2">
        <f>_dat80[[#This Row],[LOG(Expenditure 80)]]-_dat80[[#This Row],[Linear Trend LOG]]</f>
        <v>3.0415577101336133E-2</v>
      </c>
      <c r="O170" s="2">
        <f t="shared" si="2"/>
        <v>5.8995992279964327E-4</v>
      </c>
      <c r="P170" s="2">
        <f>_dat80[[#This Row],[Cycle 80]]+_dat80[[#This Row],[Linear Trend LOG]]</f>
        <v>7.0080803462686454</v>
      </c>
      <c r="Q170" s="2">
        <f>_dat80[[#This Row],[Detrend(Linear)]]-_dat80[[#This Row],[Cycle 80]]</f>
        <v>2.982561717853649E-2</v>
      </c>
      <c r="R170" s="2">
        <f>AVERAGEIF(_dat80[Quarter],_dat80[[#This Row],[Quarter]],_dat80[High Frequency])</f>
        <v>3.3009459236017259E-2</v>
      </c>
      <c r="S170" s="2">
        <f>_dat80[[#This Row],[S0]]-AVERAGE($R$2:$R$5)</f>
        <v>3.2954640972867329E-2</v>
      </c>
    </row>
    <row r="171" spans="1:19" x14ac:dyDescent="0.35">
      <c r="A171">
        <v>1992</v>
      </c>
      <c r="B171" s="1">
        <f>DATE(_dat80[[#This Row],[Year]],_dat80[[#This Row],[Quarter]]*3-1,15)</f>
        <v>33739</v>
      </c>
      <c r="C171" s="2">
        <f>_dat80[[#This Row],[Year]]+(_dat80[[#This Row],[Quarter]]-1)/4+1/8</f>
        <v>1992.375</v>
      </c>
      <c r="D171" s="2">
        <f>_dat80[[#This Row],[DecDate]]^2</f>
        <v>3969558.140625</v>
      </c>
      <c r="E171">
        <v>2</v>
      </c>
      <c r="F171">
        <v>1096</v>
      </c>
      <c r="G171">
        <f>LN(_dat80[[#This Row],[Expenditure]])</f>
        <v>6.9994224675079613</v>
      </c>
      <c r="H171">
        <f>_dat80[[#This Row],[LOG(Expenditure 80)]]-G170</f>
        <v>-3.8483495939220624E-2</v>
      </c>
      <c r="I171">
        <f>(1+(_dat80[[#This Row],[Expenditure]]-F170)/F170)^12-1</f>
        <v>-0.36985287257761035</v>
      </c>
      <c r="J171" s="2">
        <f>$W$17+$W$18*_dat80[[#This Row],[DecDate]]</f>
        <v>1117.9547682225038</v>
      </c>
      <c r="K171" s="2">
        <f>$W$40+$W$41*_dat80[[#This Row],[DecDate]]+_dat80[[#This Row],[DecDate^2]]*$W$42</f>
        <v>1107.2542810522136</v>
      </c>
      <c r="L171" s="2">
        <f>$AG$17+_dat80[[#This Row],[DecDate]]*$AG$18</f>
        <v>7.009305760518223</v>
      </c>
      <c r="M171" s="2">
        <f>$AG$40+$AG$41*_dat80[[#This Row],[DecDate]]+_dat80[[#This Row],[DecDate^2]]*$AG$42</f>
        <v>7.00903455282773</v>
      </c>
      <c r="N171" s="2">
        <f>_dat80[[#This Row],[LOG(Expenditure 80)]]-_dat80[[#This Row],[Linear Trend LOG]]</f>
        <v>-9.8832930102616956E-3</v>
      </c>
      <c r="O171" s="2">
        <f t="shared" si="2"/>
        <v>-6.8956614258622647E-3</v>
      </c>
      <c r="P171" s="2">
        <f>_dat80[[#This Row],[Cycle 80]]+_dat80[[#This Row],[Linear Trend LOG]]</f>
        <v>7.0024100990923603</v>
      </c>
      <c r="Q171" s="2">
        <f>_dat80[[#This Row],[Detrend(Linear)]]-_dat80[[#This Row],[Cycle 80]]</f>
        <v>-2.9876315843994309E-3</v>
      </c>
      <c r="R171" s="2">
        <f>AVERAGEIF(_dat80[Quarter],_dat80[[#This Row],[Quarter]],_dat80[High Frequency])</f>
        <v>-7.1142253495101353E-3</v>
      </c>
      <c r="S171" s="2">
        <f>_dat80[[#This Row],[S0]]-AVERAGE($R$2:$R$5)</f>
        <v>-7.1690436126600685E-3</v>
      </c>
    </row>
    <row r="172" spans="1:19" x14ac:dyDescent="0.35">
      <c r="A172">
        <v>1992</v>
      </c>
      <c r="B172" s="1">
        <f>DATE(_dat80[[#This Row],[Year]],_dat80[[#This Row],[Quarter]]*3-1,15)</f>
        <v>33831</v>
      </c>
      <c r="C172" s="2">
        <f>_dat80[[#This Row],[Year]]+(_dat80[[#This Row],[Quarter]]-1)/4+1/8</f>
        <v>1992.625</v>
      </c>
      <c r="D172" s="2">
        <f>_dat80[[#This Row],[DecDate]]^2</f>
        <v>3970554.390625</v>
      </c>
      <c r="E172">
        <v>3</v>
      </c>
      <c r="F172">
        <v>1119</v>
      </c>
      <c r="G172">
        <f>LN(_dat80[[#This Row],[Expenditure]])</f>
        <v>7.020190708311925</v>
      </c>
      <c r="H172">
        <f>_dat80[[#This Row],[LOG(Expenditure 80)]]-G171</f>
        <v>2.0768240803963778E-2</v>
      </c>
      <c r="I172">
        <f>(1+(_dat80[[#This Row],[Expenditure]]-F171)/F171)^12-1</f>
        <v>0.28302284275340228</v>
      </c>
      <c r="J172" s="2">
        <f>$W$17+$W$18*_dat80[[#This Row],[DecDate]]</f>
        <v>1119.8789877071631</v>
      </c>
      <c r="K172" s="2">
        <f>$W$40+$W$41*_dat80[[#This Row],[DecDate]]+_dat80[[#This Row],[DecDate^2]]*$W$42</f>
        <v>1109.2789577508811</v>
      </c>
      <c r="L172" s="2">
        <f>$AG$17+_dat80[[#This Row],[DecDate]]*$AG$18</f>
        <v>7.0111211346905984</v>
      </c>
      <c r="M172" s="2">
        <f>$AG$40+$AG$41*_dat80[[#This Row],[DecDate]]+_dat80[[#This Row],[DecDate^2]]*$AG$42</f>
        <v>7.0108524731242774</v>
      </c>
      <c r="N172" s="2">
        <f>_dat80[[#This Row],[LOG(Expenditure 80)]]-_dat80[[#This Row],[Linear Trend LOG]]</f>
        <v>9.0695736213266542E-3</v>
      </c>
      <c r="O172" s="2">
        <f t="shared" si="2"/>
        <v>7.3263680477817063E-3</v>
      </c>
      <c r="P172" s="2">
        <f>_dat80[[#This Row],[Cycle 80]]+_dat80[[#This Row],[Linear Trend LOG]]</f>
        <v>7.0184475027383799</v>
      </c>
      <c r="Q172" s="2">
        <f>_dat80[[#This Row],[Detrend(Linear)]]-_dat80[[#This Row],[Cycle 80]]</f>
        <v>1.7432055735449479E-3</v>
      </c>
      <c r="R172" s="2">
        <f>AVERAGEIF(_dat80[Quarter],_dat80[[#This Row],[Quarter]],_dat80[High Frequency])</f>
        <v>3.946848336706609E-3</v>
      </c>
      <c r="S172" s="2">
        <f>_dat80[[#This Row],[S0]]-AVERAGE($R$2:$R$5)</f>
        <v>3.8920300735566758E-3</v>
      </c>
    </row>
    <row r="173" spans="1:19" x14ac:dyDescent="0.35">
      <c r="A173">
        <v>1992</v>
      </c>
      <c r="B173" s="1">
        <f>DATE(_dat80[[#This Row],[Year]],_dat80[[#This Row],[Quarter]]*3-1,15)</f>
        <v>33923</v>
      </c>
      <c r="C173" s="2">
        <f>_dat80[[#This Row],[Year]]+(_dat80[[#This Row],[Quarter]]-1)/4+1/8</f>
        <v>1992.875</v>
      </c>
      <c r="D173" s="2">
        <f>_dat80[[#This Row],[DecDate]]^2</f>
        <v>3971550.765625</v>
      </c>
      <c r="E173">
        <v>4</v>
      </c>
      <c r="F173">
        <v>1078</v>
      </c>
      <c r="G173">
        <f>LN(_dat80[[#This Row],[Expenditure]])</f>
        <v>6.9828627514689421</v>
      </c>
      <c r="H173">
        <f>_dat80[[#This Row],[LOG(Expenditure 80)]]-G172</f>
        <v>-3.7327956842982957E-2</v>
      </c>
      <c r="I173">
        <f>(1+(_dat80[[#This Row],[Expenditure]]-F172)/F172)^12-1</f>
        <v>-0.36105409385989284</v>
      </c>
      <c r="J173" s="2">
        <f>$W$17+$W$18*_dat80[[#This Row],[DecDate]]</f>
        <v>1121.8032071918224</v>
      </c>
      <c r="K173" s="2">
        <f>$W$40+$W$41*_dat80[[#This Row],[DecDate]]+_dat80[[#This Row],[DecDate^2]]*$W$42</f>
        <v>1111.3072222071642</v>
      </c>
      <c r="L173" s="2">
        <f>$AG$17+_dat80[[#This Row],[DecDate]]*$AG$18</f>
        <v>7.0129365088629756</v>
      </c>
      <c r="M173" s="2">
        <f>$AG$40+$AG$41*_dat80[[#This Row],[DecDate]]+_dat80[[#This Row],[DecDate^2]]*$AG$42</f>
        <v>7.0126704843538281</v>
      </c>
      <c r="N173" s="2">
        <f>_dat80[[#This Row],[LOG(Expenditure 80)]]-_dat80[[#This Row],[Linear Trend LOG]]</f>
        <v>-3.0073757394033507E-2</v>
      </c>
      <c r="O173" s="2">
        <f t="shared" si="2"/>
        <v>-1.4571070567388489E-3</v>
      </c>
      <c r="P173" s="2">
        <f>_dat80[[#This Row],[Cycle 80]]+_dat80[[#This Row],[Linear Trend LOG]]</f>
        <v>7.0114794018062367</v>
      </c>
      <c r="Q173" s="2">
        <f>_dat80[[#This Row],[Detrend(Linear)]]-_dat80[[#This Row],[Cycle 80]]</f>
        <v>-2.8616650337294658E-2</v>
      </c>
      <c r="R173" s="2">
        <f>AVERAGEIF(_dat80[Quarter],_dat80[[#This Row],[Quarter]],_dat80[High Frequency])</f>
        <v>-2.9622809170614002E-2</v>
      </c>
      <c r="S173" s="2">
        <f>_dat80[[#This Row],[S0]]-AVERAGE($R$2:$R$5)</f>
        <v>-2.9677627433763936E-2</v>
      </c>
    </row>
    <row r="174" spans="1:19" x14ac:dyDescent="0.35">
      <c r="A174">
        <v>1993</v>
      </c>
      <c r="B174" s="1">
        <f>DATE(_dat80[[#This Row],[Year]],_dat80[[#This Row],[Quarter]]*3-1,15)</f>
        <v>34015</v>
      </c>
      <c r="C174" s="2">
        <f>_dat80[[#This Row],[Year]]+(_dat80[[#This Row],[Quarter]]-1)/4+1/8</f>
        <v>1993.125</v>
      </c>
      <c r="D174" s="2">
        <f>_dat80[[#This Row],[DecDate]]^2</f>
        <v>3972547.265625</v>
      </c>
      <c r="E174">
        <v>1</v>
      </c>
      <c r="F174">
        <v>1155</v>
      </c>
      <c r="G174">
        <f>LN(_dat80[[#This Row],[Expenditure]])</f>
        <v>7.0518556229558937</v>
      </c>
      <c r="H174">
        <f>_dat80[[#This Row],[LOG(Expenditure 80)]]-G173</f>
        <v>6.8992871486951657E-2</v>
      </c>
      <c r="I174">
        <f>(1+(_dat80[[#This Row],[Expenditure]]-F173)/F173)^12-1</f>
        <v>1.2885409112665336</v>
      </c>
      <c r="J174" s="2">
        <f>$W$17+$W$18*_dat80[[#This Row],[DecDate]]</f>
        <v>1123.7274266764816</v>
      </c>
      <c r="K174" s="2">
        <f>$W$40+$W$41*_dat80[[#This Row],[DecDate]]+_dat80[[#This Row],[DecDate^2]]*$W$42</f>
        <v>1113.339074421121</v>
      </c>
      <c r="L174" s="2">
        <f>$AG$17+_dat80[[#This Row],[DecDate]]*$AG$18</f>
        <v>7.0147518830353528</v>
      </c>
      <c r="M174" s="2">
        <f>$AG$40+$AG$41*_dat80[[#This Row],[DecDate]]+_dat80[[#This Row],[DecDate^2]]*$AG$42</f>
        <v>7.0144885865163866</v>
      </c>
      <c r="N174" s="2">
        <f>_dat80[[#This Row],[LOG(Expenditure 80)]]-_dat80[[#This Row],[Linear Trend LOG]]</f>
        <v>3.7103739920540946E-2</v>
      </c>
      <c r="O174" s="2">
        <f t="shared" si="2"/>
        <v>3.7206112523930912E-3</v>
      </c>
      <c r="P174" s="2">
        <f>_dat80[[#This Row],[Cycle 80]]+_dat80[[#This Row],[Linear Trend LOG]]</f>
        <v>7.0184724942877459</v>
      </c>
      <c r="Q174" s="2">
        <f>_dat80[[#This Row],[Detrend(Linear)]]-_dat80[[#This Row],[Cycle 80]]</f>
        <v>3.3383128668147855E-2</v>
      </c>
      <c r="R174" s="2">
        <f>AVERAGEIF(_dat80[Quarter],_dat80[[#This Row],[Quarter]],_dat80[High Frequency])</f>
        <v>3.3009459236017259E-2</v>
      </c>
      <c r="S174" s="2">
        <f>_dat80[[#This Row],[S0]]-AVERAGE($R$2:$R$5)</f>
        <v>3.2954640972867329E-2</v>
      </c>
    </row>
    <row r="175" spans="1:19" x14ac:dyDescent="0.35">
      <c r="A175">
        <v>1993</v>
      </c>
      <c r="B175" s="1">
        <f>DATE(_dat80[[#This Row],[Year]],_dat80[[#This Row],[Quarter]]*3-1,15)</f>
        <v>34104</v>
      </c>
      <c r="C175" s="2">
        <f>_dat80[[#This Row],[Year]]+(_dat80[[#This Row],[Quarter]]-1)/4+1/8</f>
        <v>1993.375</v>
      </c>
      <c r="D175" s="2">
        <f>_dat80[[#This Row],[DecDate]]^2</f>
        <v>3973543.890625</v>
      </c>
      <c r="E175">
        <v>2</v>
      </c>
      <c r="F175">
        <v>1100</v>
      </c>
      <c r="G175">
        <f>LN(_dat80[[#This Row],[Expenditure]])</f>
        <v>7.0030654587864616</v>
      </c>
      <c r="H175">
        <f>_dat80[[#This Row],[LOG(Expenditure 80)]]-G174</f>
        <v>-4.879016416943216E-2</v>
      </c>
      <c r="I175">
        <f>(1+(_dat80[[#This Row],[Expenditure]]-F174)/F174)^12-1</f>
        <v>-0.44316258182244073</v>
      </c>
      <c r="J175" s="2">
        <f>$W$17+$W$18*_dat80[[#This Row],[DecDate]]</f>
        <v>1125.6516461611409</v>
      </c>
      <c r="K175" s="2">
        <f>$W$40+$W$41*_dat80[[#This Row],[DecDate]]+_dat80[[#This Row],[DecDate^2]]*$W$42</f>
        <v>1115.3745143927226</v>
      </c>
      <c r="L175" s="2">
        <f>$AG$17+_dat80[[#This Row],[DecDate]]*$AG$18</f>
        <v>7.0165672572077282</v>
      </c>
      <c r="M175" s="2">
        <f>$AG$40+$AG$41*_dat80[[#This Row],[DecDate]]+_dat80[[#This Row],[DecDate^2]]*$AG$42</f>
        <v>7.0163067796119494</v>
      </c>
      <c r="N175" s="2">
        <f>_dat80[[#This Row],[LOG(Expenditure 80)]]-_dat80[[#This Row],[Linear Trend LOG]]</f>
        <v>-1.3501798421266642E-2</v>
      </c>
      <c r="O175" s="2">
        <f t="shared" si="2"/>
        <v>-3.5298799957766747E-3</v>
      </c>
      <c r="P175" s="2">
        <f>_dat80[[#This Row],[Cycle 80]]+_dat80[[#This Row],[Linear Trend LOG]]</f>
        <v>7.0130373772119512</v>
      </c>
      <c r="Q175" s="2">
        <f>_dat80[[#This Row],[Detrend(Linear)]]-_dat80[[#This Row],[Cycle 80]]</f>
        <v>-9.9719184254899677E-3</v>
      </c>
      <c r="R175" s="2">
        <f>AVERAGEIF(_dat80[Quarter],_dat80[[#This Row],[Quarter]],_dat80[High Frequency])</f>
        <v>-7.1142253495101353E-3</v>
      </c>
      <c r="S175" s="2">
        <f>_dat80[[#This Row],[S0]]-AVERAGE($R$2:$R$5)</f>
        <v>-7.1690436126600685E-3</v>
      </c>
    </row>
    <row r="176" spans="1:19" x14ac:dyDescent="0.35">
      <c r="A176">
        <v>1993</v>
      </c>
      <c r="B176" s="1">
        <f>DATE(_dat80[[#This Row],[Year]],_dat80[[#This Row],[Quarter]]*3-1,15)</f>
        <v>34196</v>
      </c>
      <c r="C176" s="2">
        <f>_dat80[[#This Row],[Year]]+(_dat80[[#This Row],[Quarter]]-1)/4+1/8</f>
        <v>1993.625</v>
      </c>
      <c r="D176" s="2">
        <f>_dat80[[#This Row],[DecDate]]^2</f>
        <v>3974540.640625</v>
      </c>
      <c r="E176">
        <v>3</v>
      </c>
      <c r="F176">
        <v>1135</v>
      </c>
      <c r="G176">
        <f>LN(_dat80[[#This Row],[Expenditure]])</f>
        <v>7.0343879299155034</v>
      </c>
      <c r="H176">
        <f>_dat80[[#This Row],[LOG(Expenditure 80)]]-G175</f>
        <v>3.1322471129041851E-2</v>
      </c>
      <c r="I176">
        <f>(1+(_dat80[[#This Row],[Expenditure]]-F175)/F175)^12-1</f>
        <v>0.45625730342751547</v>
      </c>
      <c r="J176" s="2">
        <f>$W$17+$W$18*_dat80[[#This Row],[DecDate]]</f>
        <v>1127.5758656458001</v>
      </c>
      <c r="K176" s="2">
        <f>$W$40+$W$41*_dat80[[#This Row],[DecDate]]+_dat80[[#This Row],[DecDate^2]]*$W$42</f>
        <v>1117.4135421219689</v>
      </c>
      <c r="L176" s="2">
        <f>$AG$17+_dat80[[#This Row],[DecDate]]*$AG$18</f>
        <v>7.0183826313801054</v>
      </c>
      <c r="M176" s="2">
        <f>$AG$40+$AG$41*_dat80[[#This Row],[DecDate]]+_dat80[[#This Row],[DecDate^2]]*$AG$42</f>
        <v>7.0181250636405181</v>
      </c>
      <c r="N176" s="2">
        <f>_dat80[[#This Row],[LOG(Expenditure 80)]]-_dat80[[#This Row],[Linear Trend LOG]]</f>
        <v>1.6005298535398005E-2</v>
      </c>
      <c r="O176" s="2">
        <f t="shared" si="2"/>
        <v>8.6264053845230386E-3</v>
      </c>
      <c r="P176" s="2">
        <f>_dat80[[#This Row],[Cycle 80]]+_dat80[[#This Row],[Linear Trend LOG]]</f>
        <v>7.0270090367646283</v>
      </c>
      <c r="Q176" s="2">
        <f>_dat80[[#This Row],[Detrend(Linear)]]-_dat80[[#This Row],[Cycle 80]]</f>
        <v>7.3788931508749663E-3</v>
      </c>
      <c r="R176" s="2">
        <f>AVERAGEIF(_dat80[Quarter],_dat80[[#This Row],[Quarter]],_dat80[High Frequency])</f>
        <v>3.946848336706609E-3</v>
      </c>
      <c r="S176" s="2">
        <f>_dat80[[#This Row],[S0]]-AVERAGE($R$2:$R$5)</f>
        <v>3.8920300735566758E-3</v>
      </c>
    </row>
    <row r="177" spans="1:19" x14ac:dyDescent="0.35">
      <c r="A177">
        <v>1993</v>
      </c>
      <c r="B177" s="1">
        <f>DATE(_dat80[[#This Row],[Year]],_dat80[[#This Row],[Quarter]]*3-1,15)</f>
        <v>34288</v>
      </c>
      <c r="C177" s="2">
        <f>_dat80[[#This Row],[Year]]+(_dat80[[#This Row],[Quarter]]-1)/4+1/8</f>
        <v>1993.875</v>
      </c>
      <c r="D177" s="2">
        <f>_dat80[[#This Row],[DecDate]]^2</f>
        <v>3975537.515625</v>
      </c>
      <c r="E177">
        <v>4</v>
      </c>
      <c r="F177">
        <v>1089</v>
      </c>
      <c r="G177">
        <f>LN(_dat80[[#This Row],[Expenditure]])</f>
        <v>6.9930151229329605</v>
      </c>
      <c r="H177">
        <f>_dat80[[#This Row],[LOG(Expenditure 80)]]-G176</f>
        <v>-4.1372806982542976E-2</v>
      </c>
      <c r="I177">
        <f>(1+(_dat80[[#This Row],[Expenditure]]-F176)/F176)^12-1</f>
        <v>-0.39132674587801763</v>
      </c>
      <c r="J177" s="2">
        <f>$W$17+$W$18*_dat80[[#This Row],[DecDate]]</f>
        <v>1129.5000851304612</v>
      </c>
      <c r="K177" s="2">
        <f>$W$40+$W$41*_dat80[[#This Row],[DecDate]]+_dat80[[#This Row],[DecDate^2]]*$W$42</f>
        <v>1119.4561576088308</v>
      </c>
      <c r="L177" s="2">
        <f>$AG$17+_dat80[[#This Row],[DecDate]]*$AG$18</f>
        <v>7.0201980055524826</v>
      </c>
      <c r="M177" s="2">
        <f>$AG$40+$AG$41*_dat80[[#This Row],[DecDate]]+_dat80[[#This Row],[DecDate^2]]*$AG$42</f>
        <v>7.0199434386020956</v>
      </c>
      <c r="N177" s="2">
        <f>_dat80[[#This Row],[LOG(Expenditure 80)]]-_dat80[[#This Row],[Linear Trend LOG]]</f>
        <v>-2.7182882619522175E-2</v>
      </c>
      <c r="O177" s="2">
        <f t="shared" si="2"/>
        <v>-2.9470016217398864E-3</v>
      </c>
      <c r="P177" s="2">
        <f>_dat80[[#This Row],[Cycle 80]]+_dat80[[#This Row],[Linear Trend LOG]]</f>
        <v>7.0172510039307427</v>
      </c>
      <c r="Q177" s="2">
        <f>_dat80[[#This Row],[Detrend(Linear)]]-_dat80[[#This Row],[Cycle 80]]</f>
        <v>-2.4235880997782289E-2</v>
      </c>
      <c r="R177" s="2">
        <f>AVERAGEIF(_dat80[Quarter],_dat80[[#This Row],[Quarter]],_dat80[High Frequency])</f>
        <v>-2.9622809170614002E-2</v>
      </c>
      <c r="S177" s="2">
        <f>_dat80[[#This Row],[S0]]-AVERAGE($R$2:$R$5)</f>
        <v>-2.9677627433763936E-2</v>
      </c>
    </row>
    <row r="178" spans="1:19" x14ac:dyDescent="0.35">
      <c r="A178">
        <v>1994</v>
      </c>
      <c r="B178" s="1">
        <f>DATE(_dat80[[#This Row],[Year]],_dat80[[#This Row],[Quarter]]*3-1,15)</f>
        <v>34380</v>
      </c>
      <c r="C178" s="2">
        <f>_dat80[[#This Row],[Year]]+(_dat80[[#This Row],[Quarter]]-1)/4+1/8</f>
        <v>1994.125</v>
      </c>
      <c r="D178" s="2">
        <f>_dat80[[#This Row],[DecDate]]^2</f>
        <v>3976534.515625</v>
      </c>
      <c r="E178">
        <v>1</v>
      </c>
      <c r="F178">
        <v>1156</v>
      </c>
      <c r="G178">
        <f>LN(_dat80[[#This Row],[Expenditure]])</f>
        <v>7.0527210492323231</v>
      </c>
      <c r="H178">
        <f>_dat80[[#This Row],[LOG(Expenditure 80)]]-G177</f>
        <v>5.9705926299362666E-2</v>
      </c>
      <c r="I178">
        <f>(1+(_dat80[[#This Row],[Expenditure]]-F177)/F177)^12-1</f>
        <v>1.0471961302406716</v>
      </c>
      <c r="J178" s="2">
        <f>$W$17+$W$18*_dat80[[#This Row],[DecDate]]</f>
        <v>1131.4243046151205</v>
      </c>
      <c r="K178" s="2">
        <f>$W$40+$W$41*_dat80[[#This Row],[DecDate]]+_dat80[[#This Row],[DecDate^2]]*$W$42</f>
        <v>1121.502360853352</v>
      </c>
      <c r="L178" s="2">
        <f>$AG$17+_dat80[[#This Row],[DecDate]]*$AG$18</f>
        <v>7.0220133797248581</v>
      </c>
      <c r="M178" s="2">
        <f>$AG$40+$AG$41*_dat80[[#This Row],[DecDate]]+_dat80[[#This Row],[DecDate^2]]*$AG$42</f>
        <v>7.0217619044966764</v>
      </c>
      <c r="N178" s="2">
        <f>_dat80[[#This Row],[LOG(Expenditure 80)]]-_dat80[[#This Row],[Linear Trend LOG]]</f>
        <v>3.0707669507465063E-2</v>
      </c>
      <c r="O178" s="2">
        <f t="shared" si="2"/>
        <v>-9.0105811481855364E-5</v>
      </c>
      <c r="P178" s="2">
        <f>_dat80[[#This Row],[Cycle 80]]+_dat80[[#This Row],[Linear Trend LOG]]</f>
        <v>7.0219232739133766</v>
      </c>
      <c r="Q178" s="2">
        <f>_dat80[[#This Row],[Detrend(Linear)]]-_dat80[[#This Row],[Cycle 80]]</f>
        <v>3.0797775318946917E-2</v>
      </c>
      <c r="R178" s="2">
        <f>AVERAGEIF(_dat80[Quarter],_dat80[[#This Row],[Quarter]],_dat80[High Frequency])</f>
        <v>3.3009459236017259E-2</v>
      </c>
      <c r="S178" s="2">
        <f>_dat80[[#This Row],[S0]]-AVERAGE($R$2:$R$5)</f>
        <v>3.2954640972867329E-2</v>
      </c>
    </row>
    <row r="179" spans="1:19" x14ac:dyDescent="0.35">
      <c r="A179">
        <v>1994</v>
      </c>
      <c r="B179" s="1">
        <f>DATE(_dat80[[#This Row],[Year]],_dat80[[#This Row],[Quarter]]*3-1,15)</f>
        <v>34469</v>
      </c>
      <c r="C179" s="2">
        <f>_dat80[[#This Row],[Year]]+(_dat80[[#This Row],[Quarter]]-1)/4+1/8</f>
        <v>1994.375</v>
      </c>
      <c r="D179" s="2">
        <f>_dat80[[#This Row],[DecDate]]^2</f>
        <v>3977531.640625</v>
      </c>
      <c r="E179">
        <v>2</v>
      </c>
      <c r="F179">
        <v>1100</v>
      </c>
      <c r="G179">
        <f>LN(_dat80[[#This Row],[Expenditure]])</f>
        <v>7.0030654587864616</v>
      </c>
      <c r="H179">
        <f>_dat80[[#This Row],[LOG(Expenditure 80)]]-G178</f>
        <v>-4.9655590445861542E-2</v>
      </c>
      <c r="I179">
        <f>(1+(_dat80[[#This Row],[Expenditure]]-F178)/F178)^12-1</f>
        <v>-0.4489154786701659</v>
      </c>
      <c r="J179" s="2">
        <f>$W$17+$W$18*_dat80[[#This Row],[DecDate]]</f>
        <v>1133.3485240997798</v>
      </c>
      <c r="K179" s="2">
        <f>$W$40+$W$41*_dat80[[#This Row],[DecDate]]+_dat80[[#This Row],[DecDate^2]]*$W$42</f>
        <v>1123.5521518555179</v>
      </c>
      <c r="L179" s="2">
        <f>$AG$17+_dat80[[#This Row],[DecDate]]*$AG$18</f>
        <v>7.0238287538972353</v>
      </c>
      <c r="M179" s="2">
        <f>$AG$40+$AG$41*_dat80[[#This Row],[DecDate]]+_dat80[[#This Row],[DecDate^2]]*$AG$42</f>
        <v>7.0235804613242649</v>
      </c>
      <c r="N179" s="2">
        <f>_dat80[[#This Row],[LOG(Expenditure 80)]]-_dat80[[#This Row],[Linear Trend LOG]]</f>
        <v>-2.0763295110773683E-2</v>
      </c>
      <c r="O179" s="2">
        <f t="shared" si="2"/>
        <v>-1.0916012772047345E-2</v>
      </c>
      <c r="P179" s="2">
        <f>_dat80[[#This Row],[Cycle 80]]+_dat80[[#This Row],[Linear Trend LOG]]</f>
        <v>7.0129127411251879</v>
      </c>
      <c r="Q179" s="2">
        <f>_dat80[[#This Row],[Detrend(Linear)]]-_dat80[[#This Row],[Cycle 80]]</f>
        <v>-9.8472823387263375E-3</v>
      </c>
      <c r="R179" s="2">
        <f>AVERAGEIF(_dat80[Quarter],_dat80[[#This Row],[Quarter]],_dat80[High Frequency])</f>
        <v>-7.1142253495101353E-3</v>
      </c>
      <c r="S179" s="2">
        <f>_dat80[[#This Row],[S0]]-AVERAGE($R$2:$R$5)</f>
        <v>-7.1690436126600685E-3</v>
      </c>
    </row>
    <row r="180" spans="1:19" x14ac:dyDescent="0.35">
      <c r="A180">
        <v>1994</v>
      </c>
      <c r="B180" s="1">
        <f>DATE(_dat80[[#This Row],[Year]],_dat80[[#This Row],[Quarter]]*3-1,15)</f>
        <v>34561</v>
      </c>
      <c r="C180" s="2">
        <f>_dat80[[#This Row],[Year]]+(_dat80[[#This Row],[Quarter]]-1)/4+1/8</f>
        <v>1994.625</v>
      </c>
      <c r="D180" s="2">
        <f>_dat80[[#This Row],[DecDate]]^2</f>
        <v>3978528.890625</v>
      </c>
      <c r="E180">
        <v>3</v>
      </c>
      <c r="F180">
        <v>1126</v>
      </c>
      <c r="G180">
        <f>LN(_dat80[[#This Row],[Expenditure]])</f>
        <v>7.026426808699636</v>
      </c>
      <c r="H180">
        <f>_dat80[[#This Row],[LOG(Expenditure 80)]]-G179</f>
        <v>2.3361349913174401E-2</v>
      </c>
      <c r="I180">
        <f>(1+(_dat80[[#This Row],[Expenditure]]-F179)/F179)^12-1</f>
        <v>0.32357472198664761</v>
      </c>
      <c r="J180" s="2">
        <f>$W$17+$W$18*_dat80[[#This Row],[DecDate]]</f>
        <v>1135.272743584439</v>
      </c>
      <c r="K180" s="2">
        <f>$W$40+$W$41*_dat80[[#This Row],[DecDate]]+_dat80[[#This Row],[DecDate^2]]*$W$42</f>
        <v>1125.605530615343</v>
      </c>
      <c r="L180" s="2">
        <f>$AG$17+_dat80[[#This Row],[DecDate]]*$AG$18</f>
        <v>7.0256441280696125</v>
      </c>
      <c r="M180" s="2">
        <f>$AG$40+$AG$41*_dat80[[#This Row],[DecDate]]+_dat80[[#This Row],[DecDate^2]]*$AG$42</f>
        <v>7.0253991090848587</v>
      </c>
      <c r="N180" s="2">
        <f>_dat80[[#This Row],[LOG(Expenditure 80)]]-_dat80[[#This Row],[Linear Trend LOG]]</f>
        <v>7.826806300235134E-4</v>
      </c>
      <c r="O180" s="2">
        <f t="shared" si="2"/>
        <v>7.6086166894420162E-4</v>
      </c>
      <c r="P180" s="2">
        <f>_dat80[[#This Row],[Cycle 80]]+_dat80[[#This Row],[Linear Trend LOG]]</f>
        <v>7.0264049897385563</v>
      </c>
      <c r="Q180" s="2">
        <f>_dat80[[#This Row],[Detrend(Linear)]]-_dat80[[#This Row],[Cycle 80]]</f>
        <v>2.1818961079311783E-5</v>
      </c>
      <c r="R180" s="2">
        <f>AVERAGEIF(_dat80[Quarter],_dat80[[#This Row],[Quarter]],_dat80[High Frequency])</f>
        <v>3.946848336706609E-3</v>
      </c>
      <c r="S180" s="2">
        <f>_dat80[[#This Row],[S0]]-AVERAGE($R$2:$R$5)</f>
        <v>3.8920300735566758E-3</v>
      </c>
    </row>
    <row r="181" spans="1:19" x14ac:dyDescent="0.35">
      <c r="A181">
        <v>1994</v>
      </c>
      <c r="B181" s="1">
        <f>DATE(_dat80[[#This Row],[Year]],_dat80[[#This Row],[Quarter]]*3-1,15)</f>
        <v>34653</v>
      </c>
      <c r="C181" s="2">
        <f>_dat80[[#This Row],[Year]]+(_dat80[[#This Row],[Quarter]]-1)/4+1/8</f>
        <v>1994.875</v>
      </c>
      <c r="D181" s="2">
        <f>_dat80[[#This Row],[DecDate]]^2</f>
        <v>3979526.265625</v>
      </c>
      <c r="E181">
        <v>4</v>
      </c>
      <c r="F181">
        <v>1085</v>
      </c>
      <c r="G181">
        <f>LN(_dat80[[#This Row],[Expenditure]])</f>
        <v>6.9893352659745602</v>
      </c>
      <c r="H181">
        <f>_dat80[[#This Row],[LOG(Expenditure 80)]]-G180</f>
        <v>-3.7091542725075755E-2</v>
      </c>
      <c r="I181">
        <f>(1+(_dat80[[#This Row],[Expenditure]]-F180)/F180)^12-1</f>
        <v>-0.35923885018850343</v>
      </c>
      <c r="J181" s="2">
        <f>$W$17+$W$18*_dat80[[#This Row],[DecDate]]</f>
        <v>1137.1969630690983</v>
      </c>
      <c r="K181" s="2">
        <f>$W$40+$W$41*_dat80[[#This Row],[DecDate]]+_dat80[[#This Row],[DecDate^2]]*$W$42</f>
        <v>1127.6624971327983</v>
      </c>
      <c r="L181" s="2">
        <f>$AG$17+_dat80[[#This Row],[DecDate]]*$AG$18</f>
        <v>7.0274595022419897</v>
      </c>
      <c r="M181" s="2">
        <f>$AG$40+$AG$41*_dat80[[#This Row],[DecDate]]+_dat80[[#This Row],[DecDate^2]]*$AG$42</f>
        <v>7.0272178477784575</v>
      </c>
      <c r="N181" s="2">
        <f>_dat80[[#This Row],[LOG(Expenditure 80)]]-_dat80[[#This Row],[Linear Trend LOG]]</f>
        <v>-3.8124236267429445E-2</v>
      </c>
      <c r="O181" s="2">
        <f t="shared" si="2"/>
        <v>-9.3559248798237953E-3</v>
      </c>
      <c r="P181" s="2">
        <f>_dat80[[#This Row],[Cycle 80]]+_dat80[[#This Row],[Linear Trend LOG]]</f>
        <v>7.0181035773621661</v>
      </c>
      <c r="Q181" s="2">
        <f>_dat80[[#This Row],[Detrend(Linear)]]-_dat80[[#This Row],[Cycle 80]]</f>
        <v>-2.876831138760565E-2</v>
      </c>
      <c r="R181" s="2">
        <f>AVERAGEIF(_dat80[Quarter],_dat80[[#This Row],[Quarter]],_dat80[High Frequency])</f>
        <v>-2.9622809170614002E-2</v>
      </c>
      <c r="S181" s="2">
        <f>_dat80[[#This Row],[S0]]-AVERAGE($R$2:$R$5)</f>
        <v>-2.9677627433763936E-2</v>
      </c>
    </row>
    <row r="182" spans="1:19" x14ac:dyDescent="0.35">
      <c r="A182">
        <v>1995</v>
      </c>
      <c r="B182" s="1">
        <f>DATE(_dat80[[#This Row],[Year]],_dat80[[#This Row],[Quarter]]*3-1,15)</f>
        <v>34745</v>
      </c>
      <c r="C182" s="2">
        <f>_dat80[[#This Row],[Year]]+(_dat80[[#This Row],[Quarter]]-1)/4+1/8</f>
        <v>1995.125</v>
      </c>
      <c r="D182" s="2">
        <f>_dat80[[#This Row],[DecDate]]^2</f>
        <v>3980523.765625</v>
      </c>
      <c r="E182">
        <v>1</v>
      </c>
      <c r="F182">
        <v>1165</v>
      </c>
      <c r="G182">
        <f>LN(_dat80[[#This Row],[Expenditure]])</f>
        <v>7.0604763659998007</v>
      </c>
      <c r="H182">
        <f>_dat80[[#This Row],[LOG(Expenditure 80)]]-G181</f>
        <v>7.1141100025240434E-2</v>
      </c>
      <c r="I182">
        <f>(1+(_dat80[[#This Row],[Expenditure]]-F181)/F181)^12-1</f>
        <v>1.3483036121232219</v>
      </c>
      <c r="J182" s="2">
        <f>$W$17+$W$18*_dat80[[#This Row],[DecDate]]</f>
        <v>1139.1211825537575</v>
      </c>
      <c r="K182" s="2">
        <f>$W$40+$W$41*_dat80[[#This Row],[DecDate]]+_dat80[[#This Row],[DecDate^2]]*$W$42</f>
        <v>1129.7230514078692</v>
      </c>
      <c r="L182" s="2">
        <f>$AG$17+_dat80[[#This Row],[DecDate]]*$AG$18</f>
        <v>7.0292748764143651</v>
      </c>
      <c r="M182" s="2">
        <f>$AG$40+$AG$41*_dat80[[#This Row],[DecDate]]+_dat80[[#This Row],[DecDate^2]]*$AG$42</f>
        <v>7.029036677405065</v>
      </c>
      <c r="N182" s="2">
        <f>_dat80[[#This Row],[LOG(Expenditure 80)]]-_dat80[[#This Row],[Linear Trend LOG]]</f>
        <v>3.120148958543556E-2</v>
      </c>
      <c r="O182" s="2">
        <f t="shared" si="2"/>
        <v>-3.5020580505308986E-3</v>
      </c>
      <c r="P182" s="2">
        <f>_dat80[[#This Row],[Cycle 80]]+_dat80[[#This Row],[Linear Trend LOG]]</f>
        <v>7.0257728183638344</v>
      </c>
      <c r="Q182" s="2">
        <f>_dat80[[#This Row],[Detrend(Linear)]]-_dat80[[#This Row],[Cycle 80]]</f>
        <v>3.4703547635966461E-2</v>
      </c>
      <c r="R182" s="2">
        <f>AVERAGEIF(_dat80[Quarter],_dat80[[#This Row],[Quarter]],_dat80[High Frequency])</f>
        <v>3.3009459236017259E-2</v>
      </c>
      <c r="S182" s="2">
        <f>_dat80[[#This Row],[S0]]-AVERAGE($R$2:$R$5)</f>
        <v>3.2954640972867329E-2</v>
      </c>
    </row>
    <row r="183" spans="1:19" x14ac:dyDescent="0.35">
      <c r="A183">
        <v>1995</v>
      </c>
      <c r="B183" s="1">
        <f>DATE(_dat80[[#This Row],[Year]],_dat80[[#This Row],[Quarter]]*3-1,15)</f>
        <v>34834</v>
      </c>
      <c r="C183" s="2">
        <f>_dat80[[#This Row],[Year]]+(_dat80[[#This Row],[Quarter]]-1)/4+1/8</f>
        <v>1995.375</v>
      </c>
      <c r="D183" s="2">
        <f>_dat80[[#This Row],[DecDate]]^2</f>
        <v>3981521.390625</v>
      </c>
      <c r="E183">
        <v>2</v>
      </c>
      <c r="F183">
        <v>1109</v>
      </c>
      <c r="G183">
        <f>LN(_dat80[[#This Row],[Expenditure]])</f>
        <v>7.0112139873503674</v>
      </c>
      <c r="H183">
        <f>_dat80[[#This Row],[LOG(Expenditure 80)]]-G182</f>
        <v>-4.926237864943328E-2</v>
      </c>
      <c r="I183">
        <f>(1+(_dat80[[#This Row],[Expenditure]]-F182)/F182)^12-1</f>
        <v>-0.44630901894650987</v>
      </c>
      <c r="J183" s="2">
        <f>$W$17+$W$18*_dat80[[#This Row],[DecDate]]</f>
        <v>1141.0454020384168</v>
      </c>
      <c r="K183" s="2">
        <f>$W$40+$W$41*_dat80[[#This Row],[DecDate]]+_dat80[[#This Row],[DecDate^2]]*$W$42</f>
        <v>1131.7871934406139</v>
      </c>
      <c r="L183" s="2">
        <f>$AG$17+_dat80[[#This Row],[DecDate]]*$AG$18</f>
        <v>7.0310902505867423</v>
      </c>
      <c r="M183" s="2">
        <f>$AG$40+$AG$41*_dat80[[#This Row],[DecDate]]+_dat80[[#This Row],[DecDate^2]]*$AG$42</f>
        <v>7.0308555979646759</v>
      </c>
      <c r="N183" s="2">
        <f>_dat80[[#This Row],[LOG(Expenditure 80)]]-_dat80[[#This Row],[Linear Trend LOG]]</f>
        <v>-1.9876263236374925E-2</v>
      </c>
      <c r="O183" s="2">
        <f t="shared" si="2"/>
        <v>-9.8079666182986358E-3</v>
      </c>
      <c r="P183" s="2">
        <f>_dat80[[#This Row],[Cycle 80]]+_dat80[[#This Row],[Linear Trend LOG]]</f>
        <v>7.0212822839684437</v>
      </c>
      <c r="Q183" s="2">
        <f>_dat80[[#This Row],[Detrend(Linear)]]-_dat80[[#This Row],[Cycle 80]]</f>
        <v>-1.0068296618076289E-2</v>
      </c>
      <c r="R183" s="2">
        <f>AVERAGEIF(_dat80[Quarter],_dat80[[#This Row],[Quarter]],_dat80[High Frequency])</f>
        <v>-7.1142253495101353E-3</v>
      </c>
      <c r="S183" s="2">
        <f>_dat80[[#This Row],[S0]]-AVERAGE($R$2:$R$5)</f>
        <v>-7.1690436126600685E-3</v>
      </c>
    </row>
    <row r="184" spans="1:19" x14ac:dyDescent="0.35">
      <c r="A184">
        <v>1995</v>
      </c>
      <c r="B184" s="1">
        <f>DATE(_dat80[[#This Row],[Year]],_dat80[[#This Row],[Quarter]]*3-1,15)</f>
        <v>34926</v>
      </c>
      <c r="C184" s="2">
        <f>_dat80[[#This Row],[Year]]+(_dat80[[#This Row],[Quarter]]-1)/4+1/8</f>
        <v>1995.625</v>
      </c>
      <c r="D184" s="2">
        <f>_dat80[[#This Row],[DecDate]]^2</f>
        <v>3982519.140625</v>
      </c>
      <c r="E184">
        <v>3</v>
      </c>
      <c r="F184">
        <v>1143</v>
      </c>
      <c r="G184">
        <f>LN(_dat80[[#This Row],[Expenditure]])</f>
        <v>7.0414116637948103</v>
      </c>
      <c r="H184">
        <f>_dat80[[#This Row],[LOG(Expenditure 80)]]-G183</f>
        <v>3.0197676444442934E-2</v>
      </c>
      <c r="I184">
        <f>(1+(_dat80[[#This Row],[Expenditure]]-F183)/F183)^12-1</f>
        <v>0.43673347592926492</v>
      </c>
      <c r="J184" s="2">
        <f>$W$17+$W$18*_dat80[[#This Row],[DecDate]]</f>
        <v>1142.9696215230761</v>
      </c>
      <c r="K184" s="2">
        <f>$W$40+$W$41*_dat80[[#This Row],[DecDate]]+_dat80[[#This Row],[DecDate^2]]*$W$42</f>
        <v>1133.8549232310033</v>
      </c>
      <c r="L184" s="2">
        <f>$AG$17+_dat80[[#This Row],[DecDate]]*$AG$18</f>
        <v>7.0329056247591195</v>
      </c>
      <c r="M184" s="2">
        <f>$AG$40+$AG$41*_dat80[[#This Row],[DecDate]]+_dat80[[#This Row],[DecDate^2]]*$AG$42</f>
        <v>7.0326746094572954</v>
      </c>
      <c r="N184" s="2">
        <f>_dat80[[#This Row],[LOG(Expenditure 80)]]-_dat80[[#This Row],[Linear Trend LOG]]</f>
        <v>8.5060390356908044E-3</v>
      </c>
      <c r="O184" s="2">
        <f t="shared" si="2"/>
        <v>5.6713788100902105E-3</v>
      </c>
      <c r="P184" s="2">
        <f>_dat80[[#This Row],[Cycle 80]]+_dat80[[#This Row],[Linear Trend LOG]]</f>
        <v>7.0385770035692099</v>
      </c>
      <c r="Q184" s="2">
        <f>_dat80[[#This Row],[Detrend(Linear)]]-_dat80[[#This Row],[Cycle 80]]</f>
        <v>2.8346602256005939E-3</v>
      </c>
      <c r="R184" s="2">
        <f>AVERAGEIF(_dat80[Quarter],_dat80[[#This Row],[Quarter]],_dat80[High Frequency])</f>
        <v>3.946848336706609E-3</v>
      </c>
      <c r="S184" s="2">
        <f>_dat80[[#This Row],[S0]]-AVERAGE($R$2:$R$5)</f>
        <v>3.8920300735566758E-3</v>
      </c>
    </row>
    <row r="185" spans="1:19" x14ac:dyDescent="0.35">
      <c r="A185">
        <v>1995</v>
      </c>
      <c r="B185" s="1">
        <f>DATE(_dat80[[#This Row],[Year]],_dat80[[#This Row],[Quarter]]*3-1,15)</f>
        <v>35018</v>
      </c>
      <c r="C185" s="2">
        <f>_dat80[[#This Row],[Year]]+(_dat80[[#This Row],[Quarter]]-1)/4+1/8</f>
        <v>1995.875</v>
      </c>
      <c r="D185" s="2">
        <f>_dat80[[#This Row],[DecDate]]^2</f>
        <v>3983517.015625</v>
      </c>
      <c r="E185">
        <v>4</v>
      </c>
      <c r="F185">
        <v>1101</v>
      </c>
      <c r="G185">
        <f>LN(_dat80[[#This Row],[Expenditure]])</f>
        <v>7.0039741367226798</v>
      </c>
      <c r="H185">
        <f>_dat80[[#This Row],[LOG(Expenditure 80)]]-G184</f>
        <v>-3.743752707213055E-2</v>
      </c>
      <c r="I185">
        <f>(1+(_dat80[[#This Row],[Expenditure]]-F184)/F184)^12-1</f>
        <v>-0.36189365518556471</v>
      </c>
      <c r="J185" s="2">
        <f>$W$17+$W$18*_dat80[[#This Row],[DecDate]]</f>
        <v>1144.8938410077371</v>
      </c>
      <c r="K185" s="2">
        <f>$W$40+$W$41*_dat80[[#This Row],[DecDate]]+_dat80[[#This Row],[DecDate^2]]*$W$42</f>
        <v>1135.9262407790229</v>
      </c>
      <c r="L185" s="2">
        <f>$AG$17+_dat80[[#This Row],[DecDate]]*$AG$18</f>
        <v>7.0347209989314949</v>
      </c>
      <c r="M185" s="2">
        <f>$AG$40+$AG$41*_dat80[[#This Row],[DecDate]]+_dat80[[#This Row],[DecDate^2]]*$AG$42</f>
        <v>7.0344937118829183</v>
      </c>
      <c r="N185" s="2">
        <f>_dat80[[#This Row],[LOG(Expenditure 80)]]-_dat80[[#This Row],[Linear Trend LOG]]</f>
        <v>-3.0746862208815173E-2</v>
      </c>
      <c r="O185" s="2">
        <f t="shared" si="2"/>
        <v>-2.2446862209696051E-3</v>
      </c>
      <c r="P185" s="2">
        <f>_dat80[[#This Row],[Cycle 80]]+_dat80[[#This Row],[Linear Trend LOG]]</f>
        <v>7.032476312710525</v>
      </c>
      <c r="Q185" s="2">
        <f>_dat80[[#This Row],[Detrend(Linear)]]-_dat80[[#This Row],[Cycle 80]]</f>
        <v>-2.8502175987845567E-2</v>
      </c>
      <c r="R185" s="2">
        <f>AVERAGEIF(_dat80[Quarter],_dat80[[#This Row],[Quarter]],_dat80[High Frequency])</f>
        <v>-2.9622809170614002E-2</v>
      </c>
      <c r="S185" s="2">
        <f>_dat80[[#This Row],[S0]]-AVERAGE($R$2:$R$5)</f>
        <v>-2.9677627433763936E-2</v>
      </c>
    </row>
    <row r="186" spans="1:19" x14ac:dyDescent="0.35">
      <c r="A186">
        <v>1996</v>
      </c>
      <c r="B186" s="1">
        <f>DATE(_dat80[[#This Row],[Year]],_dat80[[#This Row],[Quarter]]*3-1,15)</f>
        <v>35110</v>
      </c>
      <c r="C186" s="2">
        <f>_dat80[[#This Row],[Year]]+(_dat80[[#This Row],[Quarter]]-1)/4+1/8</f>
        <v>1996.125</v>
      </c>
      <c r="D186" s="2">
        <f>_dat80[[#This Row],[DecDate]]^2</f>
        <v>3984515.015625</v>
      </c>
      <c r="E186">
        <v>1</v>
      </c>
      <c r="F186">
        <v>1183</v>
      </c>
      <c r="G186">
        <f>LN(_dat80[[#This Row],[Expenditure]])</f>
        <v>7.0758088639783869</v>
      </c>
      <c r="H186">
        <f>_dat80[[#This Row],[LOG(Expenditure 80)]]-G185</f>
        <v>7.1834727255707165E-2</v>
      </c>
      <c r="I186">
        <f>(1+(_dat80[[#This Row],[Expenditure]]-F185)/F185)^12-1</f>
        <v>1.3679313527856829</v>
      </c>
      <c r="J186" s="2">
        <f>$W$17+$W$18*_dat80[[#This Row],[DecDate]]</f>
        <v>1146.8180604923964</v>
      </c>
      <c r="K186" s="2">
        <f>$W$40+$W$41*_dat80[[#This Row],[DecDate]]+_dat80[[#This Row],[DecDate^2]]*$W$42</f>
        <v>1138.0011460846727</v>
      </c>
      <c r="L186" s="2">
        <f>$AG$17+_dat80[[#This Row],[DecDate]]*$AG$18</f>
        <v>7.0365363731038721</v>
      </c>
      <c r="M186" s="2">
        <f>$AG$40+$AG$41*_dat80[[#This Row],[DecDate]]+_dat80[[#This Row],[DecDate^2]]*$AG$42</f>
        <v>7.0363129052415481</v>
      </c>
      <c r="N186" s="2">
        <f>_dat80[[#This Row],[LOG(Expenditure 80)]]-_dat80[[#This Row],[Linear Trend LOG]]</f>
        <v>3.9272490874514787E-2</v>
      </c>
      <c r="O186" s="2">
        <f t="shared" si="2"/>
        <v>5.4487726403129599E-3</v>
      </c>
      <c r="P186" s="2">
        <f>_dat80[[#This Row],[Cycle 80]]+_dat80[[#This Row],[Linear Trend LOG]]</f>
        <v>7.0419851457441851</v>
      </c>
      <c r="Q186" s="2">
        <f>_dat80[[#This Row],[Detrend(Linear)]]-_dat80[[#This Row],[Cycle 80]]</f>
        <v>3.3823718234201827E-2</v>
      </c>
      <c r="R186" s="2">
        <f>AVERAGEIF(_dat80[Quarter],_dat80[[#This Row],[Quarter]],_dat80[High Frequency])</f>
        <v>3.3009459236017259E-2</v>
      </c>
      <c r="S186" s="2">
        <f>_dat80[[#This Row],[S0]]-AVERAGE($R$2:$R$5)</f>
        <v>3.2954640972867329E-2</v>
      </c>
    </row>
    <row r="187" spans="1:19" x14ac:dyDescent="0.35">
      <c r="A187">
        <v>1996</v>
      </c>
      <c r="B187" s="1">
        <f>DATE(_dat80[[#This Row],[Year]],_dat80[[#This Row],[Quarter]]*3-1,15)</f>
        <v>35200</v>
      </c>
      <c r="C187" s="2">
        <f>_dat80[[#This Row],[Year]]+(_dat80[[#This Row],[Quarter]]-1)/4+1/8</f>
        <v>1996.375</v>
      </c>
      <c r="D187" s="2">
        <f>_dat80[[#This Row],[DecDate]]^2</f>
        <v>3985513.140625</v>
      </c>
      <c r="E187">
        <v>2</v>
      </c>
      <c r="F187">
        <v>1130</v>
      </c>
      <c r="G187">
        <f>LN(_dat80[[#This Row],[Expenditure]])</f>
        <v>7.0299729117063858</v>
      </c>
      <c r="H187">
        <f>_dat80[[#This Row],[LOG(Expenditure 80)]]-G186</f>
        <v>-4.5835952272001101E-2</v>
      </c>
      <c r="I187">
        <f>(1+(_dat80[[#This Row],[Expenditure]]-F186)/F186)^12-1</f>
        <v>-0.42306832128860594</v>
      </c>
      <c r="J187" s="2">
        <f>$W$17+$W$18*_dat80[[#This Row],[DecDate]]</f>
        <v>1148.7422799770557</v>
      </c>
      <c r="K187" s="2">
        <f>$W$40+$W$41*_dat80[[#This Row],[DecDate]]+_dat80[[#This Row],[DecDate^2]]*$W$42</f>
        <v>1140.0796391479817</v>
      </c>
      <c r="L187" s="2">
        <f>$AG$17+_dat80[[#This Row],[DecDate]]*$AG$18</f>
        <v>7.0383517472762493</v>
      </c>
      <c r="M187" s="2">
        <f>$AG$40+$AG$41*_dat80[[#This Row],[DecDate]]+_dat80[[#This Row],[DecDate^2]]*$AG$42</f>
        <v>7.0381321895331848</v>
      </c>
      <c r="N187" s="2">
        <f>_dat80[[#This Row],[LOG(Expenditure 80)]]-_dat80[[#This Row],[Linear Trend LOG]]</f>
        <v>-8.3788355698635186E-3</v>
      </c>
      <c r="O187" s="2">
        <f t="shared" si="2"/>
        <v>-1.6860640359166012E-3</v>
      </c>
      <c r="P187" s="2">
        <f>_dat80[[#This Row],[Cycle 80]]+_dat80[[#This Row],[Linear Trend LOG]]</f>
        <v>7.0366656832403329</v>
      </c>
      <c r="Q187" s="2">
        <f>_dat80[[#This Row],[Detrend(Linear)]]-_dat80[[#This Row],[Cycle 80]]</f>
        <v>-6.6927715339469172E-3</v>
      </c>
      <c r="R187" s="2">
        <f>AVERAGEIF(_dat80[Quarter],_dat80[[#This Row],[Quarter]],_dat80[High Frequency])</f>
        <v>-7.1142253495101353E-3</v>
      </c>
      <c r="S187" s="2">
        <f>_dat80[[#This Row],[S0]]-AVERAGE($R$2:$R$5)</f>
        <v>-7.1690436126600685E-3</v>
      </c>
    </row>
    <row r="188" spans="1:19" x14ac:dyDescent="0.35">
      <c r="A188">
        <v>1996</v>
      </c>
      <c r="B188" s="1">
        <f>DATE(_dat80[[#This Row],[Year]],_dat80[[#This Row],[Quarter]]*3-1,15)</f>
        <v>35292</v>
      </c>
      <c r="C188" s="2">
        <f>_dat80[[#This Row],[Year]]+(_dat80[[#This Row],[Quarter]]-1)/4+1/8</f>
        <v>1996.625</v>
      </c>
      <c r="D188" s="2">
        <f>_dat80[[#This Row],[DecDate]]^2</f>
        <v>3986511.390625</v>
      </c>
      <c r="E188">
        <v>3</v>
      </c>
      <c r="F188">
        <v>1163</v>
      </c>
      <c r="G188">
        <f>LN(_dat80[[#This Row],[Expenditure]])</f>
        <v>7.0587581525186645</v>
      </c>
      <c r="H188">
        <f>_dat80[[#This Row],[LOG(Expenditure 80)]]-G187</f>
        <v>2.8785240812278623E-2</v>
      </c>
      <c r="I188">
        <f>(1+(_dat80[[#This Row],[Expenditure]]-F187)/F187)^12-1</f>
        <v>0.41258716200296064</v>
      </c>
      <c r="J188" s="2">
        <f>$W$17+$W$18*_dat80[[#This Row],[DecDate]]</f>
        <v>1150.6664994617149</v>
      </c>
      <c r="K188" s="2">
        <f>$W$40+$W$41*_dat80[[#This Row],[DecDate]]+_dat80[[#This Row],[DecDate^2]]*$W$42</f>
        <v>1142.1617199689499</v>
      </c>
      <c r="L188" s="2">
        <f>$AG$17+_dat80[[#This Row],[DecDate]]*$AG$18</f>
        <v>7.0401671214486266</v>
      </c>
      <c r="M188" s="2">
        <f>$AG$40+$AG$41*_dat80[[#This Row],[DecDate]]+_dat80[[#This Row],[DecDate^2]]*$AG$42</f>
        <v>7.0399515647578266</v>
      </c>
      <c r="N188" s="2">
        <f>_dat80[[#This Row],[LOG(Expenditure 80)]]-_dat80[[#This Row],[Linear Trend LOG]]</f>
        <v>1.85910310700379E-2</v>
      </c>
      <c r="O188" s="2">
        <f t="shared" si="2"/>
        <v>1.1709034431688714E-2</v>
      </c>
      <c r="P188" s="2">
        <f>_dat80[[#This Row],[Cycle 80]]+_dat80[[#This Row],[Linear Trend LOG]]</f>
        <v>7.0518761558803149</v>
      </c>
      <c r="Q188" s="2">
        <f>_dat80[[#This Row],[Detrend(Linear)]]-_dat80[[#This Row],[Cycle 80]]</f>
        <v>6.8819966383491856E-3</v>
      </c>
      <c r="R188" s="2">
        <f>AVERAGEIF(_dat80[Quarter],_dat80[[#This Row],[Quarter]],_dat80[High Frequency])</f>
        <v>3.946848336706609E-3</v>
      </c>
      <c r="S188" s="2">
        <f>_dat80[[#This Row],[S0]]-AVERAGE($R$2:$R$5)</f>
        <v>3.8920300735566758E-3</v>
      </c>
    </row>
    <row r="189" spans="1:19" x14ac:dyDescent="0.35">
      <c r="A189">
        <v>1996</v>
      </c>
      <c r="B189" s="1">
        <f>DATE(_dat80[[#This Row],[Year]],_dat80[[#This Row],[Quarter]]*3-1,15)</f>
        <v>35384</v>
      </c>
      <c r="C189" s="2">
        <f>_dat80[[#This Row],[Year]]+(_dat80[[#This Row],[Quarter]]-1)/4+1/8</f>
        <v>1996.875</v>
      </c>
      <c r="D189" s="2">
        <f>_dat80[[#This Row],[DecDate]]^2</f>
        <v>3987509.765625</v>
      </c>
      <c r="E189">
        <v>4</v>
      </c>
      <c r="F189">
        <v>1113</v>
      </c>
      <c r="G189">
        <f>LN(_dat80[[#This Row],[Expenditure]])</f>
        <v>7.014814351275545</v>
      </c>
      <c r="H189">
        <f>_dat80[[#This Row],[LOG(Expenditure 80)]]-G188</f>
        <v>-4.3943801243119474E-2</v>
      </c>
      <c r="I189">
        <f>(1+(_dat80[[#This Row],[Expenditure]]-F188)/F188)^12-1</f>
        <v>-0.40981876714334542</v>
      </c>
      <c r="J189" s="2">
        <f>$W$17+$W$18*_dat80[[#This Row],[DecDate]]</f>
        <v>1152.5907189463742</v>
      </c>
      <c r="K189" s="2">
        <f>$W$40+$W$41*_dat80[[#This Row],[DecDate]]+_dat80[[#This Row],[DecDate^2]]*$W$42</f>
        <v>1144.2473885475483</v>
      </c>
      <c r="L189" s="2">
        <f>$AG$17+_dat80[[#This Row],[DecDate]]*$AG$18</f>
        <v>7.041982495621002</v>
      </c>
      <c r="M189" s="2">
        <f>$AG$40+$AG$41*_dat80[[#This Row],[DecDate]]+_dat80[[#This Row],[DecDate^2]]*$AG$42</f>
        <v>7.0417710309154753</v>
      </c>
      <c r="N189" s="2">
        <f>_dat80[[#This Row],[LOG(Expenditure 80)]]-_dat80[[#This Row],[Linear Trend LOG]]</f>
        <v>-2.7168144345457002E-2</v>
      </c>
      <c r="O189" s="2">
        <f t="shared" si="2"/>
        <v>3.7217387523540423E-4</v>
      </c>
      <c r="P189" s="2">
        <f>_dat80[[#This Row],[Cycle 80]]+_dat80[[#This Row],[Linear Trend LOG]]</f>
        <v>7.0423546694962376</v>
      </c>
      <c r="Q189" s="2">
        <f>_dat80[[#This Row],[Detrend(Linear)]]-_dat80[[#This Row],[Cycle 80]]</f>
        <v>-2.7540318220692406E-2</v>
      </c>
      <c r="R189" s="2">
        <f>AVERAGEIF(_dat80[Quarter],_dat80[[#This Row],[Quarter]],_dat80[High Frequency])</f>
        <v>-2.9622809170614002E-2</v>
      </c>
      <c r="S189" s="2">
        <f>_dat80[[#This Row],[S0]]-AVERAGE($R$2:$R$5)</f>
        <v>-2.9677627433763936E-2</v>
      </c>
    </row>
    <row r="190" spans="1:19" x14ac:dyDescent="0.35">
      <c r="A190">
        <v>1997</v>
      </c>
      <c r="B190" s="1">
        <f>DATE(_dat80[[#This Row],[Year]],_dat80[[#This Row],[Quarter]]*3-1,15)</f>
        <v>35476</v>
      </c>
      <c r="C190" s="2">
        <f>_dat80[[#This Row],[Year]]+(_dat80[[#This Row],[Quarter]]-1)/4+1/8</f>
        <v>1997.125</v>
      </c>
      <c r="D190" s="2">
        <f>_dat80[[#This Row],[DecDate]]^2</f>
        <v>3988508.265625</v>
      </c>
      <c r="E190">
        <v>1</v>
      </c>
      <c r="F190">
        <v>1188</v>
      </c>
      <c r="G190">
        <f>LN(_dat80[[#This Row],[Expenditure]])</f>
        <v>7.0800264999225906</v>
      </c>
      <c r="H190">
        <f>_dat80[[#This Row],[LOG(Expenditure 80)]]-G189</f>
        <v>6.5212148647045609E-2</v>
      </c>
      <c r="I190">
        <f>(1+(_dat80[[#This Row],[Expenditure]]-F189)/F189)^12-1</f>
        <v>1.1870328972543209</v>
      </c>
      <c r="J190" s="2">
        <f>$W$17+$W$18*_dat80[[#This Row],[DecDate]]</f>
        <v>1154.5149384310334</v>
      </c>
      <c r="K190" s="2">
        <f>$W$40+$W$41*_dat80[[#This Row],[DecDate]]+_dat80[[#This Row],[DecDate^2]]*$W$42</f>
        <v>1146.3366448837915</v>
      </c>
      <c r="L190" s="2">
        <f>$AG$17+_dat80[[#This Row],[DecDate]]*$AG$18</f>
        <v>7.0437978697933792</v>
      </c>
      <c r="M190" s="2">
        <f>$AG$40+$AG$41*_dat80[[#This Row],[DecDate]]+_dat80[[#This Row],[DecDate^2]]*$AG$42</f>
        <v>7.0435905880061291</v>
      </c>
      <c r="N190" s="2">
        <f>_dat80[[#This Row],[LOG(Expenditure 80)]]-_dat80[[#This Row],[Linear Trend LOG]]</f>
        <v>3.6228630129211403E-2</v>
      </c>
      <c r="O190" s="2">
        <f t="shared" si="2"/>
        <v>4.313847865314635E-3</v>
      </c>
      <c r="P190" s="2">
        <f>_dat80[[#This Row],[Cycle 80]]+_dat80[[#This Row],[Linear Trend LOG]]</f>
        <v>7.0481117176586938</v>
      </c>
      <c r="Q190" s="2">
        <f>_dat80[[#This Row],[Detrend(Linear)]]-_dat80[[#This Row],[Cycle 80]]</f>
        <v>3.1914782263896768E-2</v>
      </c>
      <c r="R190" s="2">
        <f>AVERAGEIF(_dat80[Quarter],_dat80[[#This Row],[Quarter]],_dat80[High Frequency])</f>
        <v>3.3009459236017259E-2</v>
      </c>
      <c r="S190" s="2">
        <f>_dat80[[#This Row],[S0]]-AVERAGE($R$2:$R$5)</f>
        <v>3.2954640972867329E-2</v>
      </c>
    </row>
    <row r="191" spans="1:19" x14ac:dyDescent="0.35">
      <c r="A191">
        <v>1997</v>
      </c>
      <c r="B191" s="1">
        <f>DATE(_dat80[[#This Row],[Year]],_dat80[[#This Row],[Quarter]]*3-1,15)</f>
        <v>35565</v>
      </c>
      <c r="C191" s="2">
        <f>_dat80[[#This Row],[Year]]+(_dat80[[#This Row],[Quarter]]-1)/4+1/8</f>
        <v>1997.375</v>
      </c>
      <c r="D191" s="2">
        <f>_dat80[[#This Row],[DecDate]]^2</f>
        <v>3989506.890625</v>
      </c>
      <c r="E191">
        <v>2</v>
      </c>
      <c r="F191">
        <v>1128</v>
      </c>
      <c r="G191">
        <f>LN(_dat80[[#This Row],[Expenditure]])</f>
        <v>7.0282014320580046</v>
      </c>
      <c r="H191">
        <f>_dat80[[#This Row],[LOG(Expenditure 80)]]-G190</f>
        <v>-5.1825067864585961E-2</v>
      </c>
      <c r="I191">
        <f>(1+(_dat80[[#This Row],[Expenditure]]-F190)/F190)^12-1</f>
        <v>-0.46307712371847654</v>
      </c>
      <c r="J191" s="2">
        <f>$W$17+$W$18*_dat80[[#This Row],[DecDate]]</f>
        <v>1156.4391579156927</v>
      </c>
      <c r="K191" s="2">
        <f>$W$40+$W$41*_dat80[[#This Row],[DecDate]]+_dat80[[#This Row],[DecDate^2]]*$W$42</f>
        <v>1148.4294889776502</v>
      </c>
      <c r="L191" s="2">
        <f>$AG$17+_dat80[[#This Row],[DecDate]]*$AG$18</f>
        <v>7.0456132439657564</v>
      </c>
      <c r="M191" s="2">
        <f>$AG$40+$AG$41*_dat80[[#This Row],[DecDate]]+_dat80[[#This Row],[DecDate^2]]*$AG$42</f>
        <v>7.0454102360297881</v>
      </c>
      <c r="N191" s="2">
        <f>_dat80[[#This Row],[LOG(Expenditure 80)]]-_dat80[[#This Row],[Linear Trend LOG]]</f>
        <v>-1.7411811907751762E-2</v>
      </c>
      <c r="O191" s="2">
        <f t="shared" si="2"/>
        <v>-3.9677950708675528E-3</v>
      </c>
      <c r="P191" s="2">
        <f>_dat80[[#This Row],[Cycle 80]]+_dat80[[#This Row],[Linear Trend LOG]]</f>
        <v>7.0416454488948892</v>
      </c>
      <c r="Q191" s="2">
        <f>_dat80[[#This Row],[Detrend(Linear)]]-_dat80[[#This Row],[Cycle 80]]</f>
        <v>-1.3444016836884209E-2</v>
      </c>
      <c r="R191" s="2">
        <f>AVERAGEIF(_dat80[Quarter],_dat80[[#This Row],[Quarter]],_dat80[High Frequency])</f>
        <v>-7.1142253495101353E-3</v>
      </c>
      <c r="S191" s="2">
        <f>_dat80[[#This Row],[S0]]-AVERAGE($R$2:$R$5)</f>
        <v>-7.1690436126600685E-3</v>
      </c>
    </row>
    <row r="192" spans="1:19" x14ac:dyDescent="0.35">
      <c r="A192">
        <v>1997</v>
      </c>
      <c r="B192" s="1">
        <f>DATE(_dat80[[#This Row],[Year]],_dat80[[#This Row],[Quarter]]*3-1,15)</f>
        <v>35657</v>
      </c>
      <c r="C192" s="2">
        <f>_dat80[[#This Row],[Year]]+(_dat80[[#This Row],[Quarter]]-1)/4+1/8</f>
        <v>1997.625</v>
      </c>
      <c r="D192" s="2">
        <f>_dat80[[#This Row],[DecDate]]^2</f>
        <v>3990505.640625</v>
      </c>
      <c r="E192">
        <v>3</v>
      </c>
      <c r="F192">
        <v>1163</v>
      </c>
      <c r="G192">
        <f>LN(_dat80[[#This Row],[Expenditure]])</f>
        <v>7.0587581525186645</v>
      </c>
      <c r="H192">
        <f>_dat80[[#This Row],[LOG(Expenditure 80)]]-G191</f>
        <v>3.0556720460659825E-2</v>
      </c>
      <c r="I192">
        <f>(1+(_dat80[[#This Row],[Expenditure]]-F191)/F191)^12-1</f>
        <v>0.44293703713100041</v>
      </c>
      <c r="J192" s="2">
        <f>$W$17+$W$18*_dat80[[#This Row],[DecDate]]</f>
        <v>1158.363377400352</v>
      </c>
      <c r="K192" s="2">
        <f>$W$40+$W$41*_dat80[[#This Row],[DecDate]]+_dat80[[#This Row],[DecDate^2]]*$W$42</f>
        <v>1150.5259208291827</v>
      </c>
      <c r="L192" s="2">
        <f>$AG$17+_dat80[[#This Row],[DecDate]]*$AG$18</f>
        <v>7.0474286181381318</v>
      </c>
      <c r="M192" s="2">
        <f>$AG$40+$AG$41*_dat80[[#This Row],[DecDate]]+_dat80[[#This Row],[DecDate^2]]*$AG$42</f>
        <v>7.0472299749864558</v>
      </c>
      <c r="N192" s="2">
        <f>_dat80[[#This Row],[LOG(Expenditure 80)]]-_dat80[[#This Row],[Linear Trend LOG]]</f>
        <v>1.1329534380532635E-2</v>
      </c>
      <c r="O192" s="2">
        <f t="shared" si="2"/>
        <v>7.7636743727065747E-3</v>
      </c>
      <c r="P192" s="2">
        <f>_dat80[[#This Row],[Cycle 80]]+_dat80[[#This Row],[Linear Trend LOG]]</f>
        <v>7.0551922925108386</v>
      </c>
      <c r="Q192" s="2">
        <f>_dat80[[#This Row],[Detrend(Linear)]]-_dat80[[#This Row],[Cycle 80]]</f>
        <v>3.5658600078260607E-3</v>
      </c>
      <c r="R192" s="2">
        <f>AVERAGEIF(_dat80[Quarter],_dat80[[#This Row],[Quarter]],_dat80[High Frequency])</f>
        <v>3.946848336706609E-3</v>
      </c>
      <c r="S192" s="2">
        <f>_dat80[[#This Row],[S0]]-AVERAGE($R$2:$R$5)</f>
        <v>3.8920300735566758E-3</v>
      </c>
    </row>
    <row r="193" spans="1:19" x14ac:dyDescent="0.35">
      <c r="A193">
        <v>1997</v>
      </c>
      <c r="B193" s="1">
        <f>DATE(_dat80[[#This Row],[Year]],_dat80[[#This Row],[Quarter]]*3-1,15)</f>
        <v>35749</v>
      </c>
      <c r="C193" s="2">
        <f>_dat80[[#This Row],[Year]]+(_dat80[[#This Row],[Quarter]]-1)/4+1/8</f>
        <v>1997.875</v>
      </c>
      <c r="D193" s="2">
        <f>_dat80[[#This Row],[DecDate]]^2</f>
        <v>3991504.515625</v>
      </c>
      <c r="E193">
        <v>4</v>
      </c>
      <c r="F193">
        <v>1126</v>
      </c>
      <c r="G193">
        <f>LN(_dat80[[#This Row],[Expenditure]])</f>
        <v>7.026426808699636</v>
      </c>
      <c r="H193">
        <f>_dat80[[#This Row],[LOG(Expenditure 80)]]-G192</f>
        <v>-3.2331343819028469E-2</v>
      </c>
      <c r="I193">
        <f>(1+(_dat80[[#This Row],[Expenditure]]-F192)/F192)^12-1</f>
        <v>-0.32157146000981918</v>
      </c>
      <c r="J193" s="2">
        <f>$W$17+$W$18*_dat80[[#This Row],[DecDate]]</f>
        <v>1160.287596885013</v>
      </c>
      <c r="K193" s="2">
        <f>$W$40+$W$41*_dat80[[#This Row],[DecDate]]+_dat80[[#This Row],[DecDate^2]]*$W$42</f>
        <v>1152.62594043836</v>
      </c>
      <c r="L193" s="2">
        <f>$AG$17+_dat80[[#This Row],[DecDate]]*$AG$18</f>
        <v>7.049243992310509</v>
      </c>
      <c r="M193" s="2">
        <f>$AG$40+$AG$41*_dat80[[#This Row],[DecDate]]+_dat80[[#This Row],[DecDate^2]]*$AG$42</f>
        <v>7.0490498048761268</v>
      </c>
      <c r="N193" s="2">
        <f>_dat80[[#This Row],[LOG(Expenditure 80)]]-_dat80[[#This Row],[Linear Trend LOG]]</f>
        <v>-2.2817183610873037E-2</v>
      </c>
      <c r="O193" s="2">
        <f t="shared" si="2"/>
        <v>-1.4250165865199449E-3</v>
      </c>
      <c r="P193" s="2">
        <f>_dat80[[#This Row],[Cycle 80]]+_dat80[[#This Row],[Linear Trend LOG]]</f>
        <v>7.0478189757239891</v>
      </c>
      <c r="Q193" s="2">
        <f>_dat80[[#This Row],[Detrend(Linear)]]-_dat80[[#This Row],[Cycle 80]]</f>
        <v>-2.1392167024353093E-2</v>
      </c>
      <c r="R193" s="2">
        <f>AVERAGEIF(_dat80[Quarter],_dat80[[#This Row],[Quarter]],_dat80[High Frequency])</f>
        <v>-2.9622809170614002E-2</v>
      </c>
      <c r="S193" s="2">
        <f>_dat80[[#This Row],[S0]]-AVERAGE($R$2:$R$5)</f>
        <v>-2.9677627433763936E-2</v>
      </c>
    </row>
    <row r="194" spans="1:19" x14ac:dyDescent="0.35">
      <c r="A194">
        <v>1998</v>
      </c>
      <c r="B194" s="1">
        <f>DATE(_dat80[[#This Row],[Year]],_dat80[[#This Row],[Quarter]]*3-1,15)</f>
        <v>35841</v>
      </c>
      <c r="C194" s="2">
        <f>_dat80[[#This Row],[Year]]+(_dat80[[#This Row],[Quarter]]-1)/4+1/8</f>
        <v>1998.125</v>
      </c>
      <c r="D194" s="2">
        <f>_dat80[[#This Row],[DecDate]]^2</f>
        <v>3992503.515625</v>
      </c>
      <c r="E194">
        <v>1</v>
      </c>
      <c r="F194">
        <v>1191</v>
      </c>
      <c r="G194">
        <f>LN(_dat80[[#This Row],[Expenditure]])</f>
        <v>7.0825485693552999</v>
      </c>
      <c r="H194">
        <f>_dat80[[#This Row],[LOG(Expenditure 80)]]-G193</f>
        <v>5.6121760655663877E-2</v>
      </c>
      <c r="I194">
        <f>(1+(_dat80[[#This Row],[Expenditure]]-F193)/F193)^12-1</f>
        <v>0.96101290470449019</v>
      </c>
      <c r="J194" s="2">
        <f>$W$17+$W$18*_dat80[[#This Row],[DecDate]]</f>
        <v>1162.2118163696723</v>
      </c>
      <c r="K194" s="2">
        <f>$W$40+$W$41*_dat80[[#This Row],[DecDate]]+_dat80[[#This Row],[DecDate^2]]*$W$42</f>
        <v>1154.7295478051674</v>
      </c>
      <c r="L194" s="2">
        <f>$AG$17+_dat80[[#This Row],[DecDate]]*$AG$18</f>
        <v>7.0510593664828862</v>
      </c>
      <c r="M194" s="2">
        <f>$AG$40+$AG$41*_dat80[[#This Row],[DecDate]]+_dat80[[#This Row],[DecDate^2]]*$AG$42</f>
        <v>7.0508697256988064</v>
      </c>
      <c r="N194" s="2">
        <f>_dat80[[#This Row],[LOG(Expenditure 80)]]-_dat80[[#This Row],[Linear Trend LOG]]</f>
        <v>3.1489202872413635E-2</v>
      </c>
      <c r="O194" s="2">
        <f t="shared" si="2"/>
        <v>4.2419955490460735E-3</v>
      </c>
      <c r="P194" s="2">
        <f>_dat80[[#This Row],[Cycle 80]]+_dat80[[#This Row],[Linear Trend LOG]]</f>
        <v>7.0553013620319325</v>
      </c>
      <c r="Q194" s="2">
        <f>_dat80[[#This Row],[Detrend(Linear)]]-_dat80[[#This Row],[Cycle 80]]</f>
        <v>2.7247207323367561E-2</v>
      </c>
      <c r="R194" s="2">
        <f>AVERAGEIF(_dat80[Quarter],_dat80[[#This Row],[Quarter]],_dat80[High Frequency])</f>
        <v>3.3009459236017259E-2</v>
      </c>
      <c r="S194" s="2">
        <f>_dat80[[#This Row],[S0]]-AVERAGE($R$2:$R$5)</f>
        <v>3.2954640972867329E-2</v>
      </c>
    </row>
    <row r="195" spans="1:19" x14ac:dyDescent="0.35">
      <c r="A195">
        <v>1998</v>
      </c>
      <c r="B195" s="1">
        <f>DATE(_dat80[[#This Row],[Year]],_dat80[[#This Row],[Quarter]]*3-1,15)</f>
        <v>35930</v>
      </c>
      <c r="C195" s="2">
        <f>_dat80[[#This Row],[Year]]+(_dat80[[#This Row],[Quarter]]-1)/4+1/8</f>
        <v>1998.375</v>
      </c>
      <c r="D195" s="2">
        <f>_dat80[[#This Row],[DecDate]]^2</f>
        <v>3993502.640625</v>
      </c>
      <c r="E195">
        <v>2</v>
      </c>
      <c r="F195">
        <v>1145</v>
      </c>
      <c r="G195">
        <f>LN(_dat80[[#This Row],[Expenditure]])</f>
        <v>7.0431599159883405</v>
      </c>
      <c r="H195">
        <f>_dat80[[#This Row],[LOG(Expenditure 80)]]-G194</f>
        <v>-3.9388653366959403E-2</v>
      </c>
      <c r="I195">
        <f>(1+(_dat80[[#This Row],[Expenditure]]-F194)/F194)^12-1</f>
        <v>-0.37666042245724674</v>
      </c>
      <c r="J195" s="2">
        <f>$W$17+$W$18*_dat80[[#This Row],[DecDate]]</f>
        <v>1164.1360358543316</v>
      </c>
      <c r="K195" s="2">
        <f>$W$40+$W$41*_dat80[[#This Row],[DecDate]]+_dat80[[#This Row],[DecDate^2]]*$W$42</f>
        <v>1156.836742929605</v>
      </c>
      <c r="L195" s="2">
        <f>$AG$17+_dat80[[#This Row],[DecDate]]*$AG$18</f>
        <v>7.0528747406552617</v>
      </c>
      <c r="M195" s="2">
        <f>$AG$40+$AG$41*_dat80[[#This Row],[DecDate]]+_dat80[[#This Row],[DecDate^2]]*$AG$42</f>
        <v>7.0526897374544903</v>
      </c>
      <c r="N195" s="2">
        <f>_dat80[[#This Row],[LOG(Expenditure 80)]]-_dat80[[#This Row],[Linear Trend LOG]]</f>
        <v>-9.7148246669211957E-3</v>
      </c>
      <c r="O195" s="2">
        <f t="shared" si="2"/>
        <v>-2.2712892708442569E-3</v>
      </c>
      <c r="P195" s="2">
        <f>_dat80[[#This Row],[Cycle 80]]+_dat80[[#This Row],[Linear Trend LOG]]</f>
        <v>7.0506034513844176</v>
      </c>
      <c r="Q195" s="2">
        <f>_dat80[[#This Row],[Detrend(Linear)]]-_dat80[[#This Row],[Cycle 80]]</f>
        <v>-7.4435353960769389E-3</v>
      </c>
      <c r="R195" s="2">
        <f>AVERAGEIF(_dat80[Quarter],_dat80[[#This Row],[Quarter]],_dat80[High Frequency])</f>
        <v>-7.1142253495101353E-3</v>
      </c>
      <c r="S195" s="2">
        <f>_dat80[[#This Row],[S0]]-AVERAGE($R$2:$R$5)</f>
        <v>-7.1690436126600685E-3</v>
      </c>
    </row>
    <row r="196" spans="1:19" x14ac:dyDescent="0.35">
      <c r="A196">
        <v>1998</v>
      </c>
      <c r="B196" s="1">
        <f>DATE(_dat80[[#This Row],[Year]],_dat80[[#This Row],[Quarter]]*3-1,15)</f>
        <v>36022</v>
      </c>
      <c r="C196" s="2">
        <f>_dat80[[#This Row],[Year]]+(_dat80[[#This Row],[Quarter]]-1)/4+1/8</f>
        <v>1998.625</v>
      </c>
      <c r="D196" s="2">
        <f>_dat80[[#This Row],[DecDate]]^2</f>
        <v>3994501.890625</v>
      </c>
      <c r="E196">
        <v>3</v>
      </c>
      <c r="F196">
        <v>1171</v>
      </c>
      <c r="G196">
        <f>LN(_dat80[[#This Row],[Expenditure]])</f>
        <v>7.0656133635977172</v>
      </c>
      <c r="H196">
        <f>_dat80[[#This Row],[LOG(Expenditure 80)]]-G195</f>
        <v>2.2453447609376731E-2</v>
      </c>
      <c r="I196">
        <f>(1+(_dat80[[#This Row],[Expenditure]]-F195)/F195)^12-1</f>
        <v>0.30923287137113387</v>
      </c>
      <c r="J196" s="2">
        <f>$W$17+$W$18*_dat80[[#This Row],[DecDate]]</f>
        <v>1166.0602553389908</v>
      </c>
      <c r="K196" s="2">
        <f>$W$40+$W$41*_dat80[[#This Row],[DecDate]]+_dat80[[#This Row],[DecDate^2]]*$W$42</f>
        <v>1158.9475258117018</v>
      </c>
      <c r="L196" s="2">
        <f>$AG$17+_dat80[[#This Row],[DecDate]]*$AG$18</f>
        <v>7.0546901148276389</v>
      </c>
      <c r="M196" s="2">
        <f>$AG$40+$AG$41*_dat80[[#This Row],[DecDate]]+_dat80[[#This Row],[DecDate^2]]*$AG$42</f>
        <v>7.0545098401431794</v>
      </c>
      <c r="N196" s="2">
        <f>_dat80[[#This Row],[LOG(Expenditure 80)]]-_dat80[[#This Row],[Linear Trend LOG]]</f>
        <v>1.0923248770078331E-2</v>
      </c>
      <c r="O196" s="2">
        <f t="shared" si="2"/>
        <v>9.6408502742779227E-3</v>
      </c>
      <c r="P196" s="2">
        <f>_dat80[[#This Row],[Cycle 80]]+_dat80[[#This Row],[Linear Trend LOG]]</f>
        <v>7.0643309651019166</v>
      </c>
      <c r="Q196" s="2">
        <f>_dat80[[#This Row],[Detrend(Linear)]]-_dat80[[#This Row],[Cycle 80]]</f>
        <v>1.2823984958004082E-3</v>
      </c>
      <c r="R196" s="2">
        <f>AVERAGEIF(_dat80[Quarter],_dat80[[#This Row],[Quarter]],_dat80[High Frequency])</f>
        <v>3.946848336706609E-3</v>
      </c>
      <c r="S196" s="2">
        <f>_dat80[[#This Row],[S0]]-AVERAGE($R$2:$R$5)</f>
        <v>3.8920300735566758E-3</v>
      </c>
    </row>
    <row r="197" spans="1:19" x14ac:dyDescent="0.35">
      <c r="A197">
        <v>1998</v>
      </c>
      <c r="B197" s="1">
        <f>DATE(_dat80[[#This Row],[Year]],_dat80[[#This Row],[Quarter]]*3-1,15)</f>
        <v>36114</v>
      </c>
      <c r="C197" s="2">
        <f>_dat80[[#This Row],[Year]]+(_dat80[[#This Row],[Quarter]]-1)/4+1/8</f>
        <v>1998.875</v>
      </c>
      <c r="D197" s="2">
        <f>_dat80[[#This Row],[DecDate]]^2</f>
        <v>3995501.265625</v>
      </c>
      <c r="E197">
        <v>4</v>
      </c>
      <c r="F197">
        <v>1136</v>
      </c>
      <c r="G197">
        <f>LN(_dat80[[#This Row],[Expenditure]])</f>
        <v>7.035268599281097</v>
      </c>
      <c r="H197">
        <f>_dat80[[#This Row],[LOG(Expenditure 80)]]-G196</f>
        <v>-3.0344764316620143E-2</v>
      </c>
      <c r="I197">
        <f>(1+(_dat80[[#This Row],[Expenditure]]-F196)/F196)^12-1</f>
        <v>-0.3052041181954197</v>
      </c>
      <c r="J197" s="2">
        <f>$W$17+$W$18*_dat80[[#This Row],[DecDate]]</f>
        <v>1167.9844748236501</v>
      </c>
      <c r="K197" s="2">
        <f>$W$40+$W$41*_dat80[[#This Row],[DecDate]]+_dat80[[#This Row],[DecDate^2]]*$W$42</f>
        <v>1161.0618964514579</v>
      </c>
      <c r="L197" s="2">
        <f>$AG$17+_dat80[[#This Row],[DecDate]]*$AG$18</f>
        <v>7.0565054890000161</v>
      </c>
      <c r="M197" s="2">
        <f>$AG$40+$AG$41*_dat80[[#This Row],[DecDate]]+_dat80[[#This Row],[DecDate^2]]*$AG$42</f>
        <v>7.056330033764878</v>
      </c>
      <c r="N197" s="2">
        <f>_dat80[[#This Row],[LOG(Expenditure 80)]]-_dat80[[#This Row],[Linear Trend LOG]]</f>
        <v>-2.1236889718919016E-2</v>
      </c>
      <c r="O197" s="2">
        <f t="shared" si="2"/>
        <v>9.930439752180221E-4</v>
      </c>
      <c r="P197" s="2">
        <f>_dat80[[#This Row],[Cycle 80]]+_dat80[[#This Row],[Linear Trend LOG]]</f>
        <v>7.0574985329752344</v>
      </c>
      <c r="Q197" s="2">
        <f>_dat80[[#This Row],[Detrend(Linear)]]-_dat80[[#This Row],[Cycle 80]]</f>
        <v>-2.222993369413704E-2</v>
      </c>
      <c r="R197" s="2">
        <f>AVERAGEIF(_dat80[Quarter],_dat80[[#This Row],[Quarter]],_dat80[High Frequency])</f>
        <v>-2.9622809170614002E-2</v>
      </c>
      <c r="S197" s="2">
        <f>_dat80[[#This Row],[S0]]-AVERAGE($R$2:$R$5)</f>
        <v>-2.9677627433763936E-2</v>
      </c>
    </row>
    <row r="198" spans="1:19" x14ac:dyDescent="0.35">
      <c r="A198">
        <v>1999</v>
      </c>
      <c r="B198" s="1">
        <f>DATE(_dat80[[#This Row],[Year]],_dat80[[#This Row],[Quarter]]*3-1,15)</f>
        <v>36206</v>
      </c>
      <c r="C198" s="2">
        <f>_dat80[[#This Row],[Year]]+(_dat80[[#This Row],[Quarter]]-1)/4+1/8</f>
        <v>1999.125</v>
      </c>
      <c r="D198" s="2">
        <f>_dat80[[#This Row],[DecDate]]^2</f>
        <v>3996500.765625</v>
      </c>
      <c r="E198">
        <v>1</v>
      </c>
      <c r="F198">
        <v>1206</v>
      </c>
      <c r="G198">
        <f>LN(_dat80[[#This Row],[Expenditure]])</f>
        <v>7.0950643772871311</v>
      </c>
      <c r="H198">
        <f>_dat80[[#This Row],[LOG(Expenditure 80)]]-G197</f>
        <v>5.9795778006034084E-2</v>
      </c>
      <c r="I198">
        <f>(1+(_dat80[[#This Row],[Expenditure]]-F197)/F197)^12-1</f>
        <v>1.0494046494563665</v>
      </c>
      <c r="J198" s="2">
        <f>$W$17+$W$18*_dat80[[#This Row],[DecDate]]</f>
        <v>1169.9086943083094</v>
      </c>
      <c r="K198" s="2">
        <f>$W$40+$W$41*_dat80[[#This Row],[DecDate]]+_dat80[[#This Row],[DecDate^2]]*$W$42</f>
        <v>1163.1798548488441</v>
      </c>
      <c r="L198" s="2">
        <f>$AG$17+_dat80[[#This Row],[DecDate]]*$AG$18</f>
        <v>7.0583208631723933</v>
      </c>
      <c r="M198" s="2">
        <f>$AG$40+$AG$41*_dat80[[#This Row],[DecDate]]+_dat80[[#This Row],[DecDate^2]]*$AG$42</f>
        <v>7.0581503183195791</v>
      </c>
      <c r="N198" s="2">
        <f>_dat80[[#This Row],[LOG(Expenditure 80)]]-_dat80[[#This Row],[Linear Trend LOG]]</f>
        <v>3.6743514114737863E-2</v>
      </c>
      <c r="O198" s="2">
        <f t="shared" ref="O198:O261" si="3">AVERAGE(N196:N200)</f>
        <v>3.8390806325645952E-3</v>
      </c>
      <c r="P198" s="2">
        <f>_dat80[[#This Row],[Cycle 80]]+_dat80[[#This Row],[Linear Trend LOG]]</f>
        <v>7.062159943804958</v>
      </c>
      <c r="Q198" s="2">
        <f>_dat80[[#This Row],[Detrend(Linear)]]-_dat80[[#This Row],[Cycle 80]]</f>
        <v>3.290443348217327E-2</v>
      </c>
      <c r="R198" s="2">
        <f>AVERAGEIF(_dat80[Quarter],_dat80[[#This Row],[Quarter]],_dat80[High Frequency])</f>
        <v>3.3009459236017259E-2</v>
      </c>
      <c r="S198" s="2">
        <f>_dat80[[#This Row],[S0]]-AVERAGE($R$2:$R$5)</f>
        <v>3.2954640972867329E-2</v>
      </c>
    </row>
    <row r="199" spans="1:19" x14ac:dyDescent="0.35">
      <c r="A199">
        <v>1999</v>
      </c>
      <c r="B199" s="1">
        <f>DATE(_dat80[[#This Row],[Year]],_dat80[[#This Row],[Quarter]]*3-1,15)</f>
        <v>36295</v>
      </c>
      <c r="C199" s="2">
        <f>_dat80[[#This Row],[Year]]+(_dat80[[#This Row],[Quarter]]-1)/4+1/8</f>
        <v>1999.375</v>
      </c>
      <c r="D199" s="2">
        <f>_dat80[[#This Row],[DecDate]]^2</f>
        <v>3997500.390625</v>
      </c>
      <c r="E199">
        <v>2</v>
      </c>
      <c r="F199">
        <v>1151</v>
      </c>
      <c r="G199">
        <f>LN(_dat80[[#This Row],[Expenditure]])</f>
        <v>7.0483864087218828</v>
      </c>
      <c r="H199">
        <f>_dat80[[#This Row],[LOG(Expenditure 80)]]-G198</f>
        <v>-4.6677968565248307E-2</v>
      </c>
      <c r="I199">
        <f>(1+(_dat80[[#This Row],[Expenditure]]-F198)/F198)^12-1</f>
        <v>-0.42886839986104486</v>
      </c>
      <c r="J199" s="2">
        <f>$W$17+$W$18*_dat80[[#This Row],[DecDate]]</f>
        <v>1171.8329137929686</v>
      </c>
      <c r="K199" s="2">
        <f>$W$40+$W$41*_dat80[[#This Row],[DecDate]]+_dat80[[#This Row],[DecDate^2]]*$W$42</f>
        <v>1165.3014010038751</v>
      </c>
      <c r="L199" s="2">
        <f>$AG$17+_dat80[[#This Row],[DecDate]]*$AG$18</f>
        <v>7.0601362373447687</v>
      </c>
      <c r="M199" s="2">
        <f>$AG$40+$AG$41*_dat80[[#This Row],[DecDate]]+_dat80[[#This Row],[DecDate^2]]*$AG$42</f>
        <v>7.0599706938072888</v>
      </c>
      <c r="N199" s="2">
        <f>_dat80[[#This Row],[LOG(Expenditure 80)]]-_dat80[[#This Row],[Linear Trend LOG]]</f>
        <v>-1.1749828622885872E-2</v>
      </c>
      <c r="O199" s="2">
        <f t="shared" si="3"/>
        <v>-4.3976694018162728E-3</v>
      </c>
      <c r="P199" s="2">
        <f>_dat80[[#This Row],[Cycle 80]]+_dat80[[#This Row],[Linear Trend LOG]]</f>
        <v>7.0557385679429521</v>
      </c>
      <c r="Q199" s="2">
        <f>_dat80[[#This Row],[Detrend(Linear)]]-_dat80[[#This Row],[Cycle 80]]</f>
        <v>-7.3521592210695989E-3</v>
      </c>
      <c r="R199" s="2">
        <f>AVERAGEIF(_dat80[Quarter],_dat80[[#This Row],[Quarter]],_dat80[High Frequency])</f>
        <v>-7.1142253495101353E-3</v>
      </c>
      <c r="S199" s="2">
        <f>_dat80[[#This Row],[S0]]-AVERAGE($R$2:$R$5)</f>
        <v>-7.1690436126600685E-3</v>
      </c>
    </row>
    <row r="200" spans="1:19" x14ac:dyDescent="0.35">
      <c r="A200">
        <v>1999</v>
      </c>
      <c r="B200" s="1">
        <f>DATE(_dat80[[#This Row],[Year]],_dat80[[#This Row],[Quarter]]*3-1,15)</f>
        <v>36387</v>
      </c>
      <c r="C200" s="2">
        <f>_dat80[[#This Row],[Year]]+(_dat80[[#This Row],[Quarter]]-1)/4+1/8</f>
        <v>1999.625</v>
      </c>
      <c r="D200" s="2">
        <f>_dat80[[#This Row],[DecDate]]^2</f>
        <v>3998500.140625</v>
      </c>
      <c r="E200">
        <v>3</v>
      </c>
      <c r="F200">
        <v>1172</v>
      </c>
      <c r="G200">
        <f>LN(_dat80[[#This Row],[Expenditure]])</f>
        <v>7.0664669701369576</v>
      </c>
      <c r="H200">
        <f>_dat80[[#This Row],[LOG(Expenditure 80)]]-G199</f>
        <v>1.8080561415074747E-2</v>
      </c>
      <c r="I200">
        <f>(1+(_dat80[[#This Row],[Expenditure]]-F199)/F199)^12-1</f>
        <v>0.24230277870944605</v>
      </c>
      <c r="J200" s="2">
        <f>$W$17+$W$18*_dat80[[#This Row],[DecDate]]</f>
        <v>1173.7571332776297</v>
      </c>
      <c r="K200" s="2">
        <f>$W$40+$W$41*_dat80[[#This Row],[DecDate]]+_dat80[[#This Row],[DecDate^2]]*$W$42</f>
        <v>1167.4265349165216</v>
      </c>
      <c r="L200" s="2">
        <f>$AG$17+_dat80[[#This Row],[DecDate]]*$AG$18</f>
        <v>7.0619516115171459</v>
      </c>
      <c r="M200" s="2">
        <f>$AG$40+$AG$41*_dat80[[#This Row],[DecDate]]+_dat80[[#This Row],[DecDate^2]]*$AG$42</f>
        <v>7.0617911602280028</v>
      </c>
      <c r="N200" s="2">
        <f>_dat80[[#This Row],[LOG(Expenditure 80)]]-_dat80[[#This Row],[Linear Trend LOG]]</f>
        <v>4.5153586198116713E-3</v>
      </c>
      <c r="O200" s="2">
        <f t="shared" si="3"/>
        <v>6.7386698954397415E-3</v>
      </c>
      <c r="P200" s="2">
        <f>_dat80[[#This Row],[Cycle 80]]+_dat80[[#This Row],[Linear Trend LOG]]</f>
        <v>7.0686902814125858</v>
      </c>
      <c r="Q200" s="2">
        <f>_dat80[[#This Row],[Detrend(Linear)]]-_dat80[[#This Row],[Cycle 80]]</f>
        <v>-2.2233112756280702E-3</v>
      </c>
      <c r="R200" s="2">
        <f>AVERAGEIF(_dat80[Quarter],_dat80[[#This Row],[Quarter]],_dat80[High Frequency])</f>
        <v>3.946848336706609E-3</v>
      </c>
      <c r="S200" s="2">
        <f>_dat80[[#This Row],[S0]]-AVERAGE($R$2:$R$5)</f>
        <v>3.8920300735566758E-3</v>
      </c>
    </row>
    <row r="201" spans="1:19" x14ac:dyDescent="0.35">
      <c r="A201">
        <v>1999</v>
      </c>
      <c r="B201" s="1">
        <f>DATE(_dat80[[#This Row],[Year]],_dat80[[#This Row],[Quarter]]*3-1,15)</f>
        <v>36479</v>
      </c>
      <c r="C201" s="2">
        <f>_dat80[[#This Row],[Year]]+(_dat80[[#This Row],[Quarter]]-1)/4+1/8</f>
        <v>1999.875</v>
      </c>
      <c r="D201" s="2">
        <f>_dat80[[#This Row],[DecDate]]^2</f>
        <v>3999500.015625</v>
      </c>
      <c r="E201">
        <v>4</v>
      </c>
      <c r="F201">
        <v>1134</v>
      </c>
      <c r="G201">
        <f>LN(_dat80[[#This Row],[Expenditure]])</f>
        <v>7.0335064842876971</v>
      </c>
      <c r="H201">
        <f>_dat80[[#This Row],[LOG(Expenditure 80)]]-G200</f>
        <v>-3.2960485849260479E-2</v>
      </c>
      <c r="I201">
        <f>(1+(_dat80[[#This Row],[Expenditure]]-F200)/F200)^12-1</f>
        <v>-0.32667410893586502</v>
      </c>
      <c r="J201" s="2">
        <f>$W$17+$W$18*_dat80[[#This Row],[DecDate]]</f>
        <v>1175.681352762289</v>
      </c>
      <c r="K201" s="2">
        <f>$W$40+$W$41*_dat80[[#This Row],[DecDate]]+_dat80[[#This Row],[DecDate^2]]*$W$42</f>
        <v>1169.555256586842</v>
      </c>
      <c r="L201" s="2">
        <f>$AG$17+_dat80[[#This Row],[DecDate]]*$AG$18</f>
        <v>7.0637669856895231</v>
      </c>
      <c r="M201" s="2">
        <f>$AG$40+$AG$41*_dat80[[#This Row],[DecDate]]+_dat80[[#This Row],[DecDate^2]]*$AG$42</f>
        <v>7.0636117175817219</v>
      </c>
      <c r="N201" s="2">
        <f>_dat80[[#This Row],[LOG(Expenditure 80)]]-_dat80[[#This Row],[Linear Trend LOG]]</f>
        <v>-3.0260501401826012E-2</v>
      </c>
      <c r="O201" s="2">
        <f t="shared" si="3"/>
        <v>-3.0270110664126549E-3</v>
      </c>
      <c r="P201" s="2">
        <f>_dat80[[#This Row],[Cycle 80]]+_dat80[[#This Row],[Linear Trend LOG]]</f>
        <v>7.0607399746231101</v>
      </c>
      <c r="Q201" s="2">
        <f>_dat80[[#This Row],[Detrend(Linear)]]-_dat80[[#This Row],[Cycle 80]]</f>
        <v>-2.7233490335413356E-2</v>
      </c>
      <c r="R201" s="2">
        <f>AVERAGEIF(_dat80[Quarter],_dat80[[#This Row],[Quarter]],_dat80[High Frequency])</f>
        <v>-2.9622809170614002E-2</v>
      </c>
      <c r="S201" s="2">
        <f>_dat80[[#This Row],[S0]]-AVERAGE($R$2:$R$5)</f>
        <v>-2.9677627433763936E-2</v>
      </c>
    </row>
    <row r="202" spans="1:19" x14ac:dyDescent="0.35">
      <c r="A202">
        <v>2000</v>
      </c>
      <c r="B202" s="1">
        <f>DATE(_dat80[[#This Row],[Year]],_dat80[[#This Row],[Quarter]]*3-1,15)</f>
        <v>36571</v>
      </c>
      <c r="C202" s="2">
        <f>_dat80[[#This Row],[Year]]+(_dat80[[#This Row],[Quarter]]-1)/4+1/8</f>
        <v>2000.125</v>
      </c>
      <c r="D202" s="2">
        <f>_dat80[[#This Row],[DecDate]]^2</f>
        <v>4000500.015625</v>
      </c>
      <c r="E202">
        <v>1</v>
      </c>
      <c r="F202">
        <v>1212</v>
      </c>
      <c r="G202">
        <f>LN(_dat80[[#This Row],[Expenditure]])</f>
        <v>7.1000271666292596</v>
      </c>
      <c r="H202">
        <f>_dat80[[#This Row],[LOG(Expenditure 80)]]-G201</f>
        <v>6.6520682341562498E-2</v>
      </c>
      <c r="I202">
        <f>(1+(_dat80[[#This Row],[Expenditure]]-F201)/F201)^12-1</f>
        <v>1.2216456123339943</v>
      </c>
      <c r="J202" s="2">
        <f>$W$17+$W$18*_dat80[[#This Row],[DecDate]]</f>
        <v>1177.6055722469482</v>
      </c>
      <c r="K202" s="2">
        <f>$W$40+$W$41*_dat80[[#This Row],[DecDate]]+_dat80[[#This Row],[DecDate^2]]*$W$42</f>
        <v>1171.6875660147925</v>
      </c>
      <c r="L202" s="2">
        <f>$AG$17+_dat80[[#This Row],[DecDate]]*$AG$18</f>
        <v>7.0655823598618985</v>
      </c>
      <c r="M202" s="2">
        <f>$AG$40+$AG$41*_dat80[[#This Row],[DecDate]]+_dat80[[#This Row],[DecDate^2]]*$AG$42</f>
        <v>7.0654323658684497</v>
      </c>
      <c r="N202" s="2">
        <f>_dat80[[#This Row],[LOG(Expenditure 80)]]-_dat80[[#This Row],[Linear Trend LOG]]</f>
        <v>3.4444806767361058E-2</v>
      </c>
      <c r="O202" s="2">
        <f t="shared" si="3"/>
        <v>1.3172119387675706E-3</v>
      </c>
      <c r="P202" s="2">
        <f>_dat80[[#This Row],[Cycle 80]]+_dat80[[#This Row],[Linear Trend LOG]]</f>
        <v>7.0668995718006657</v>
      </c>
      <c r="Q202" s="2">
        <f>_dat80[[#This Row],[Detrend(Linear)]]-_dat80[[#This Row],[Cycle 80]]</f>
        <v>3.3127594828593489E-2</v>
      </c>
      <c r="R202" s="2">
        <f>AVERAGEIF(_dat80[Quarter],_dat80[[#This Row],[Quarter]],_dat80[High Frequency])</f>
        <v>3.3009459236017259E-2</v>
      </c>
      <c r="S202" s="2">
        <f>_dat80[[#This Row],[S0]]-AVERAGE($R$2:$R$5)</f>
        <v>3.2954640972867329E-2</v>
      </c>
    </row>
    <row r="203" spans="1:19" x14ac:dyDescent="0.35">
      <c r="A203">
        <v>2000</v>
      </c>
      <c r="B203" s="1">
        <f>DATE(_dat80[[#This Row],[Year]],_dat80[[#This Row],[Quarter]]*3-1,15)</f>
        <v>36661</v>
      </c>
      <c r="C203" s="2">
        <f>_dat80[[#This Row],[Year]]+(_dat80[[#This Row],[Quarter]]-1)/4+1/8</f>
        <v>2000.375</v>
      </c>
      <c r="D203" s="2">
        <f>_dat80[[#This Row],[DecDate]]^2</f>
        <v>4001500.140625</v>
      </c>
      <c r="E203">
        <v>2</v>
      </c>
      <c r="F203">
        <v>1159</v>
      </c>
      <c r="G203">
        <f>LN(_dat80[[#This Row],[Expenditure]])</f>
        <v>7.0553128433397516</v>
      </c>
      <c r="H203">
        <f>_dat80[[#This Row],[LOG(Expenditure 80)]]-G202</f>
        <v>-4.4714323289507973E-2</v>
      </c>
      <c r="I203">
        <f>(1+(_dat80[[#This Row],[Expenditure]]-F202)/F202)^12-1</f>
        <v>-0.41525058823261995</v>
      </c>
      <c r="J203" s="2">
        <f>$W$17+$W$18*_dat80[[#This Row],[DecDate]]</f>
        <v>1179.5297917316075</v>
      </c>
      <c r="K203" s="2">
        <f>$W$40+$W$41*_dat80[[#This Row],[DecDate]]+_dat80[[#This Row],[DecDate^2]]*$W$42</f>
        <v>1173.8234632004023</v>
      </c>
      <c r="L203" s="2">
        <f>$AG$17+_dat80[[#This Row],[DecDate]]*$AG$18</f>
        <v>7.0673977340342757</v>
      </c>
      <c r="M203" s="2">
        <f>$AG$40+$AG$41*_dat80[[#This Row],[DecDate]]+_dat80[[#This Row],[DecDate^2]]*$AG$42</f>
        <v>7.0672531050881817</v>
      </c>
      <c r="N203" s="2">
        <f>_dat80[[#This Row],[LOG(Expenditure 80)]]-_dat80[[#This Row],[Linear Trend LOG]]</f>
        <v>-1.208489069452412E-2</v>
      </c>
      <c r="O203" s="2">
        <f t="shared" si="3"/>
        <v>-6.2103635715644147E-3</v>
      </c>
      <c r="P203" s="2">
        <f>_dat80[[#This Row],[Cycle 80]]+_dat80[[#This Row],[Linear Trend LOG]]</f>
        <v>7.0611873704627115</v>
      </c>
      <c r="Q203" s="2">
        <f>_dat80[[#This Row],[Detrend(Linear)]]-_dat80[[#This Row],[Cycle 80]]</f>
        <v>-5.874527122959705E-3</v>
      </c>
      <c r="R203" s="2">
        <f>AVERAGEIF(_dat80[Quarter],_dat80[[#This Row],[Quarter]],_dat80[High Frequency])</f>
        <v>-7.1142253495101353E-3</v>
      </c>
      <c r="S203" s="2">
        <f>_dat80[[#This Row],[S0]]-AVERAGE($R$2:$R$5)</f>
        <v>-7.1690436126600685E-3</v>
      </c>
    </row>
    <row r="204" spans="1:19" x14ac:dyDescent="0.35">
      <c r="A204">
        <v>2000</v>
      </c>
      <c r="B204" s="1">
        <f>DATE(_dat80[[#This Row],[Year]],_dat80[[#This Row],[Quarter]]*3-1,15)</f>
        <v>36753</v>
      </c>
      <c r="C204" s="2">
        <f>_dat80[[#This Row],[Year]]+(_dat80[[#This Row],[Quarter]]-1)/4+1/8</f>
        <v>2000.625</v>
      </c>
      <c r="D204" s="2">
        <f>_dat80[[#This Row],[DecDate]]^2</f>
        <v>4002500.390625</v>
      </c>
      <c r="E204">
        <v>3</v>
      </c>
      <c r="F204">
        <v>1187</v>
      </c>
      <c r="G204">
        <f>LN(_dat80[[#This Row],[Expenditure]])</f>
        <v>7.0791843946096682</v>
      </c>
      <c r="H204">
        <f>_dat80[[#This Row],[LOG(Expenditure 80)]]-G203</f>
        <v>2.387155126991658E-2</v>
      </c>
      <c r="I204">
        <f>(1+(_dat80[[#This Row],[Expenditure]]-F203)/F203)^12-1</f>
        <v>0.33170305454115079</v>
      </c>
      <c r="J204" s="2">
        <f>$W$17+$W$18*_dat80[[#This Row],[DecDate]]</f>
        <v>1181.4540112162667</v>
      </c>
      <c r="K204" s="2">
        <f>$W$40+$W$41*_dat80[[#This Row],[DecDate]]+_dat80[[#This Row],[DecDate^2]]*$W$42</f>
        <v>1175.9629481436277</v>
      </c>
      <c r="L204" s="2">
        <f>$AG$17+_dat80[[#This Row],[DecDate]]*$AG$18</f>
        <v>7.0692131082066529</v>
      </c>
      <c r="M204" s="2">
        <f>$AG$40+$AG$41*_dat80[[#This Row],[DecDate]]+_dat80[[#This Row],[DecDate^2]]*$AG$42</f>
        <v>7.0690739352409215</v>
      </c>
      <c r="N204" s="2">
        <f>_dat80[[#This Row],[LOG(Expenditure 80)]]-_dat80[[#This Row],[Linear Trend LOG]]</f>
        <v>9.9712864030152559E-3</v>
      </c>
      <c r="O204" s="2">
        <f t="shared" si="3"/>
        <v>6.4301912947739128E-3</v>
      </c>
      <c r="P204" s="2">
        <f>_dat80[[#This Row],[Cycle 80]]+_dat80[[#This Row],[Linear Trend LOG]]</f>
        <v>7.0756432995014267</v>
      </c>
      <c r="Q204" s="2">
        <f>_dat80[[#This Row],[Detrend(Linear)]]-_dat80[[#This Row],[Cycle 80]]</f>
        <v>3.5410951082413432E-3</v>
      </c>
      <c r="R204" s="2">
        <f>AVERAGEIF(_dat80[Quarter],_dat80[[#This Row],[Quarter]],_dat80[High Frequency])</f>
        <v>3.946848336706609E-3</v>
      </c>
      <c r="S204" s="2">
        <f>_dat80[[#This Row],[S0]]-AVERAGE($R$2:$R$5)</f>
        <v>3.8920300735566758E-3</v>
      </c>
    </row>
    <row r="205" spans="1:19" x14ac:dyDescent="0.35">
      <c r="A205">
        <v>2000</v>
      </c>
      <c r="B205" s="1">
        <f>DATE(_dat80[[#This Row],[Year]],_dat80[[#This Row],[Quarter]]*3-1,15)</f>
        <v>36845</v>
      </c>
      <c r="C205" s="2">
        <f>_dat80[[#This Row],[Year]]+(_dat80[[#This Row],[Quarter]]-1)/4+1/8</f>
        <v>2000.875</v>
      </c>
      <c r="D205" s="2">
        <f>_dat80[[#This Row],[DecDate]]^2</f>
        <v>4003500.765625</v>
      </c>
      <c r="E205">
        <v>4</v>
      </c>
      <c r="F205">
        <v>1139</v>
      </c>
      <c r="G205">
        <f>LN(_dat80[[#This Row],[Expenditure]])</f>
        <v>7.0379059634471819</v>
      </c>
      <c r="H205">
        <f>_dat80[[#This Row],[LOG(Expenditure 80)]]-G204</f>
        <v>-4.1278431162486307E-2</v>
      </c>
      <c r="I205">
        <f>(1+(_dat80[[#This Row],[Expenditure]]-F204)/F204)^12-1</f>
        <v>-0.39063702694494506</v>
      </c>
      <c r="J205" s="2">
        <f>$W$17+$W$18*_dat80[[#This Row],[DecDate]]</f>
        <v>1183.378230700926</v>
      </c>
      <c r="K205" s="2">
        <f>$W$40+$W$41*_dat80[[#This Row],[DecDate]]+_dat80[[#This Row],[DecDate^2]]*$W$42</f>
        <v>1178.1060208445124</v>
      </c>
      <c r="L205" s="2">
        <f>$AG$17+_dat80[[#This Row],[DecDate]]*$AG$18</f>
        <v>7.0710284823790301</v>
      </c>
      <c r="M205" s="2">
        <f>$AG$40+$AG$41*_dat80[[#This Row],[DecDate]]+_dat80[[#This Row],[DecDate^2]]*$AG$42</f>
        <v>7.0708948563266656</v>
      </c>
      <c r="N205" s="2">
        <f>_dat80[[#This Row],[LOG(Expenditure 80)]]-_dat80[[#This Row],[Linear Trend LOG]]</f>
        <v>-3.3122518931848255E-2</v>
      </c>
      <c r="O205" s="2">
        <f t="shared" si="3"/>
        <v>-5.3661121496430654E-3</v>
      </c>
      <c r="P205" s="2">
        <f>_dat80[[#This Row],[Cycle 80]]+_dat80[[#This Row],[Linear Trend LOG]]</f>
        <v>7.0656623702293873</v>
      </c>
      <c r="Q205" s="2">
        <f>_dat80[[#This Row],[Detrend(Linear)]]-_dat80[[#This Row],[Cycle 80]]</f>
        <v>-2.775640678220519E-2</v>
      </c>
      <c r="R205" s="2">
        <f>AVERAGEIF(_dat80[Quarter],_dat80[[#This Row],[Quarter]],_dat80[High Frequency])</f>
        <v>-2.9622809170614002E-2</v>
      </c>
      <c r="S205" s="2">
        <f>_dat80[[#This Row],[S0]]-AVERAGE($R$2:$R$5)</f>
        <v>-2.9677627433763936E-2</v>
      </c>
    </row>
    <row r="206" spans="1:19" x14ac:dyDescent="0.35">
      <c r="A206">
        <v>2001</v>
      </c>
      <c r="B206" s="1">
        <f>DATE(_dat80[[#This Row],[Year]],_dat80[[#This Row],[Quarter]]*3-1,15)</f>
        <v>36937</v>
      </c>
      <c r="C206" s="2">
        <f>_dat80[[#This Row],[Year]]+(_dat80[[#This Row],[Quarter]]-1)/4+1/8</f>
        <v>2001.125</v>
      </c>
      <c r="D206" s="2">
        <f>_dat80[[#This Row],[DecDate]]^2</f>
        <v>4004501.265625</v>
      </c>
      <c r="E206">
        <v>1</v>
      </c>
      <c r="F206">
        <v>1219</v>
      </c>
      <c r="G206">
        <f>LN(_dat80[[#This Row],[Expenditure]])</f>
        <v>7.1057861294812712</v>
      </c>
      <c r="H206">
        <f>_dat80[[#This Row],[LOG(Expenditure 80)]]-G205</f>
        <v>6.7880166034089306E-2</v>
      </c>
      <c r="I206">
        <f>(1+(_dat80[[#This Row],[Expenditure]]-F205)/F205)^12-1</f>
        <v>1.2581863529364994</v>
      </c>
      <c r="J206" s="2">
        <f>$W$17+$W$18*_dat80[[#This Row],[DecDate]]</f>
        <v>1185.3024501855853</v>
      </c>
      <c r="K206" s="2">
        <f>$W$40+$W$41*_dat80[[#This Row],[DecDate]]+_dat80[[#This Row],[DecDate^2]]*$W$42</f>
        <v>1180.2526813030418</v>
      </c>
      <c r="L206" s="2">
        <f>$AG$17+_dat80[[#This Row],[DecDate]]*$AG$18</f>
        <v>7.0728438565514056</v>
      </c>
      <c r="M206" s="2">
        <f>$AG$40+$AG$41*_dat80[[#This Row],[DecDate]]+_dat80[[#This Row],[DecDate^2]]*$AG$42</f>
        <v>7.0727158683454157</v>
      </c>
      <c r="N206" s="2">
        <f>_dat80[[#This Row],[LOG(Expenditure 80)]]-_dat80[[#This Row],[Linear Trend LOG]]</f>
        <v>3.2942272929865624E-2</v>
      </c>
      <c r="O206" s="2">
        <f t="shared" si="3"/>
        <v>-3.0822821942928513E-3</v>
      </c>
      <c r="P206" s="2">
        <f>_dat80[[#This Row],[Cycle 80]]+_dat80[[#This Row],[Linear Trend LOG]]</f>
        <v>7.0697615743571127</v>
      </c>
      <c r="Q206" s="2">
        <f>_dat80[[#This Row],[Detrend(Linear)]]-_dat80[[#This Row],[Cycle 80]]</f>
        <v>3.6024555124158475E-2</v>
      </c>
      <c r="R206" s="2">
        <f>AVERAGEIF(_dat80[Quarter],_dat80[[#This Row],[Quarter]],_dat80[High Frequency])</f>
        <v>3.3009459236017259E-2</v>
      </c>
      <c r="S206" s="2">
        <f>_dat80[[#This Row],[S0]]-AVERAGE($R$2:$R$5)</f>
        <v>3.2954640972867329E-2</v>
      </c>
    </row>
    <row r="207" spans="1:19" x14ac:dyDescent="0.35">
      <c r="A207">
        <v>2001</v>
      </c>
      <c r="B207" s="1">
        <f>DATE(_dat80[[#This Row],[Year]],_dat80[[#This Row],[Quarter]]*3-1,15)</f>
        <v>37026</v>
      </c>
      <c r="C207" s="2">
        <f>_dat80[[#This Row],[Year]]+(_dat80[[#This Row],[Quarter]]-1)/4+1/8</f>
        <v>2001.375</v>
      </c>
      <c r="D207" s="2">
        <f>_dat80[[#This Row],[DecDate]]^2</f>
        <v>4005501.890625</v>
      </c>
      <c r="E207">
        <v>2</v>
      </c>
      <c r="F207">
        <v>1153</v>
      </c>
      <c r="G207">
        <f>LN(_dat80[[#This Row],[Expenditure]])</f>
        <v>7.0501225202690589</v>
      </c>
      <c r="H207">
        <f>_dat80[[#This Row],[LOG(Expenditure 80)]]-G206</f>
        <v>-5.5663609212212251E-2</v>
      </c>
      <c r="I207">
        <f>(1+(_dat80[[#This Row],[Expenditure]]-F206)/F206)^12-1</f>
        <v>-0.48724816871877163</v>
      </c>
      <c r="J207" s="2">
        <f>$W$17+$W$18*_dat80[[#This Row],[DecDate]]</f>
        <v>1187.2266696702445</v>
      </c>
      <c r="K207" s="2">
        <f>$W$40+$W$41*_dat80[[#This Row],[DecDate]]+_dat80[[#This Row],[DecDate^2]]*$W$42</f>
        <v>1182.4029295192158</v>
      </c>
      <c r="L207" s="2">
        <f>$AG$17+_dat80[[#This Row],[DecDate]]*$AG$18</f>
        <v>7.0746592307237828</v>
      </c>
      <c r="M207" s="2">
        <f>$AG$40+$AG$41*_dat80[[#This Row],[DecDate]]+_dat80[[#This Row],[DecDate^2]]*$AG$42</f>
        <v>7.0745369712971735</v>
      </c>
      <c r="N207" s="2">
        <f>_dat80[[#This Row],[LOG(Expenditure 80)]]-_dat80[[#This Row],[Linear Trend LOG]]</f>
        <v>-2.4536710454723831E-2</v>
      </c>
      <c r="O207" s="2">
        <f t="shared" si="3"/>
        <v>-1.1753511862728772E-2</v>
      </c>
      <c r="P207" s="2">
        <f>_dat80[[#This Row],[Cycle 80]]+_dat80[[#This Row],[Linear Trend LOG]]</f>
        <v>7.062905718861054</v>
      </c>
      <c r="Q207" s="2">
        <f>_dat80[[#This Row],[Detrend(Linear)]]-_dat80[[#This Row],[Cycle 80]]</f>
        <v>-1.278319859199506E-2</v>
      </c>
      <c r="R207" s="2">
        <f>AVERAGEIF(_dat80[Quarter],_dat80[[#This Row],[Quarter]],_dat80[High Frequency])</f>
        <v>-7.1142253495101353E-3</v>
      </c>
      <c r="S207" s="2">
        <f>_dat80[[#This Row],[S0]]-AVERAGE($R$2:$R$5)</f>
        <v>-7.1690436126600685E-3</v>
      </c>
    </row>
    <row r="208" spans="1:19" x14ac:dyDescent="0.35">
      <c r="A208">
        <v>2001</v>
      </c>
      <c r="B208" s="1">
        <f>DATE(_dat80[[#This Row],[Year]],_dat80[[#This Row],[Quarter]]*3-1,15)</f>
        <v>37118</v>
      </c>
      <c r="C208" s="2">
        <f>_dat80[[#This Row],[Year]]+(_dat80[[#This Row],[Quarter]]-1)/4+1/8</f>
        <v>2001.625</v>
      </c>
      <c r="D208" s="2">
        <f>_dat80[[#This Row],[DecDate]]^2</f>
        <v>4006502.640625</v>
      </c>
      <c r="E208">
        <v>3</v>
      </c>
      <c r="F208">
        <v>1183</v>
      </c>
      <c r="G208">
        <f>LN(_dat80[[#This Row],[Expenditure]])</f>
        <v>7.0758088639783869</v>
      </c>
      <c r="H208">
        <f>_dat80[[#This Row],[LOG(Expenditure 80)]]-G207</f>
        <v>2.5686343709327986E-2</v>
      </c>
      <c r="I208">
        <f>(1+(_dat80[[#This Row],[Expenditure]]-F207)/F207)^12-1</f>
        <v>0.36102232172983162</v>
      </c>
      <c r="J208" s="2">
        <f>$W$17+$W$18*_dat80[[#This Row],[DecDate]]</f>
        <v>1189.1508891549056</v>
      </c>
      <c r="K208" s="2">
        <f>$W$40+$W$41*_dat80[[#This Row],[DecDate]]+_dat80[[#This Row],[DecDate^2]]*$W$42</f>
        <v>1184.5567654930346</v>
      </c>
      <c r="L208" s="2">
        <f>$AG$17+_dat80[[#This Row],[DecDate]]*$AG$18</f>
        <v>7.07647460489616</v>
      </c>
      <c r="M208" s="2">
        <f>$AG$40+$AG$41*_dat80[[#This Row],[DecDate]]+_dat80[[#This Row],[DecDate^2]]*$AG$42</f>
        <v>7.0763581651819356</v>
      </c>
      <c r="N208" s="2">
        <f>_dat80[[#This Row],[LOG(Expenditure 80)]]-_dat80[[#This Row],[Linear Trend LOG]]</f>
        <v>-6.6574091777305E-4</v>
      </c>
      <c r="O208" s="2">
        <f t="shared" si="3"/>
        <v>1.8038109487509501E-3</v>
      </c>
      <c r="P208" s="2">
        <f>_dat80[[#This Row],[Cycle 80]]+_dat80[[#This Row],[Linear Trend LOG]]</f>
        <v>7.0782784158449106</v>
      </c>
      <c r="Q208" s="2">
        <f>_dat80[[#This Row],[Detrend(Linear)]]-_dat80[[#This Row],[Cycle 80]]</f>
        <v>-2.4695518665240001E-3</v>
      </c>
      <c r="R208" s="2">
        <f>AVERAGEIF(_dat80[Quarter],_dat80[[#This Row],[Quarter]],_dat80[High Frequency])</f>
        <v>3.946848336706609E-3</v>
      </c>
      <c r="S208" s="2">
        <f>_dat80[[#This Row],[S0]]-AVERAGE($R$2:$R$5)</f>
        <v>3.8920300735566758E-3</v>
      </c>
    </row>
    <row r="209" spans="1:19" x14ac:dyDescent="0.35">
      <c r="A209">
        <v>2001</v>
      </c>
      <c r="B209" s="1">
        <f>DATE(_dat80[[#This Row],[Year]],_dat80[[#This Row],[Quarter]]*3-1,15)</f>
        <v>37210</v>
      </c>
      <c r="C209" s="2">
        <f>_dat80[[#This Row],[Year]]+(_dat80[[#This Row],[Quarter]]-1)/4+1/8</f>
        <v>2001.875</v>
      </c>
      <c r="D209" s="2">
        <f>_dat80[[#This Row],[DecDate]]^2</f>
        <v>4007503.515625</v>
      </c>
      <c r="E209">
        <v>4</v>
      </c>
      <c r="F209">
        <v>1147</v>
      </c>
      <c r="G209">
        <f>LN(_dat80[[#This Row],[Expenditure]])</f>
        <v>7.0449051171293711</v>
      </c>
      <c r="H209">
        <f>_dat80[[#This Row],[LOG(Expenditure 80)]]-G208</f>
        <v>-3.0903746849015867E-2</v>
      </c>
      <c r="I209">
        <f>(1+(_dat80[[#This Row],[Expenditure]]-F208)/F208)^12-1</f>
        <v>-0.30984906724483496</v>
      </c>
      <c r="J209" s="2">
        <f>$W$17+$W$18*_dat80[[#This Row],[DecDate]]</f>
        <v>1191.0751086395649</v>
      </c>
      <c r="K209" s="2">
        <f>$W$40+$W$41*_dat80[[#This Row],[DecDate]]+_dat80[[#This Row],[DecDate^2]]*$W$42</f>
        <v>1186.714189224469</v>
      </c>
      <c r="L209" s="2">
        <f>$AG$17+_dat80[[#This Row],[DecDate]]*$AG$18</f>
        <v>7.0782899790685354</v>
      </c>
      <c r="M209" s="2">
        <f>$AG$40+$AG$41*_dat80[[#This Row],[DecDate]]+_dat80[[#This Row],[DecDate^2]]*$AG$42</f>
        <v>7.0781794499997055</v>
      </c>
      <c r="N209" s="2">
        <f>_dat80[[#This Row],[LOG(Expenditure 80)]]-_dat80[[#This Row],[Linear Trend LOG]]</f>
        <v>-3.3384861939164345E-2</v>
      </c>
      <c r="O209" s="2">
        <f t="shared" si="3"/>
        <v>-5.6691784060339144E-3</v>
      </c>
      <c r="P209" s="2">
        <f>_dat80[[#This Row],[Cycle 80]]+_dat80[[#This Row],[Linear Trend LOG]]</f>
        <v>7.0726208006625013</v>
      </c>
      <c r="Q209" s="2">
        <f>_dat80[[#This Row],[Detrend(Linear)]]-_dat80[[#This Row],[Cycle 80]]</f>
        <v>-2.771568353313043E-2</v>
      </c>
      <c r="R209" s="2">
        <f>AVERAGEIF(_dat80[Quarter],_dat80[[#This Row],[Quarter]],_dat80[High Frequency])</f>
        <v>-2.9622809170614002E-2</v>
      </c>
      <c r="S209" s="2">
        <f>_dat80[[#This Row],[S0]]-AVERAGE($R$2:$R$5)</f>
        <v>-2.9677627433763936E-2</v>
      </c>
    </row>
    <row r="210" spans="1:19" x14ac:dyDescent="0.35">
      <c r="A210">
        <v>2002</v>
      </c>
      <c r="B210" s="1">
        <f>DATE(_dat80[[#This Row],[Year]],_dat80[[#This Row],[Quarter]]*3-1,15)</f>
        <v>37302</v>
      </c>
      <c r="C210" s="2">
        <f>_dat80[[#This Row],[Year]]+(_dat80[[#This Row],[Quarter]]-1)/4+1/8</f>
        <v>2002.125</v>
      </c>
      <c r="D210" s="2">
        <f>_dat80[[#This Row],[DecDate]]^2</f>
        <v>4008504.515625</v>
      </c>
      <c r="E210">
        <v>1</v>
      </c>
      <c r="F210">
        <v>1230</v>
      </c>
      <c r="G210">
        <f>LN(_dat80[[#This Row],[Expenditure]])</f>
        <v>7.114769448366463</v>
      </c>
      <c r="H210">
        <f>_dat80[[#This Row],[LOG(Expenditure 80)]]-G209</f>
        <v>6.9864331237091903E-2</v>
      </c>
      <c r="I210">
        <f>(1+(_dat80[[#This Row],[Expenditure]]-F209)/F209)^12-1</f>
        <v>1.3125989411355987</v>
      </c>
      <c r="J210" s="2">
        <f>$W$17+$W$18*_dat80[[#This Row],[DecDate]]</f>
        <v>1192.9993281242241</v>
      </c>
      <c r="K210" s="2">
        <f>$W$40+$W$41*_dat80[[#This Row],[DecDate]]+_dat80[[#This Row],[DecDate^2]]*$W$42</f>
        <v>1188.8752007135772</v>
      </c>
      <c r="L210" s="2">
        <f>$AG$17+_dat80[[#This Row],[DecDate]]*$AG$18</f>
        <v>7.0801053532409126</v>
      </c>
      <c r="M210" s="2">
        <f>$AG$40+$AG$41*_dat80[[#This Row],[DecDate]]+_dat80[[#This Row],[DecDate^2]]*$AG$42</f>
        <v>7.0800008257504796</v>
      </c>
      <c r="N210" s="2">
        <f>_dat80[[#This Row],[LOG(Expenditure 80)]]-_dat80[[#This Row],[Linear Trend LOG]]</f>
        <v>3.4664095125550354E-2</v>
      </c>
      <c r="O210" s="2">
        <f t="shared" si="3"/>
        <v>2.3312920783961745E-3</v>
      </c>
      <c r="P210" s="2">
        <f>_dat80[[#This Row],[Cycle 80]]+_dat80[[#This Row],[Linear Trend LOG]]</f>
        <v>7.0824366453193086</v>
      </c>
      <c r="Q210" s="2">
        <f>_dat80[[#This Row],[Detrend(Linear)]]-_dat80[[#This Row],[Cycle 80]]</f>
        <v>3.2332803047154177E-2</v>
      </c>
      <c r="R210" s="2">
        <f>AVERAGEIF(_dat80[Quarter],_dat80[[#This Row],[Quarter]],_dat80[High Frequency])</f>
        <v>3.3009459236017259E-2</v>
      </c>
      <c r="S210" s="2">
        <f>_dat80[[#This Row],[S0]]-AVERAGE($R$2:$R$5)</f>
        <v>3.2954640972867329E-2</v>
      </c>
    </row>
    <row r="211" spans="1:19" x14ac:dyDescent="0.35">
      <c r="A211">
        <v>2002</v>
      </c>
      <c r="B211" s="1">
        <f>DATE(_dat80[[#This Row],[Year]],_dat80[[#This Row],[Quarter]]*3-1,15)</f>
        <v>37391</v>
      </c>
      <c r="C211" s="2">
        <f>_dat80[[#This Row],[Year]]+(_dat80[[#This Row],[Quarter]]-1)/4+1/8</f>
        <v>2002.375</v>
      </c>
      <c r="D211" s="2">
        <f>_dat80[[#This Row],[DecDate]]^2</f>
        <v>4009505.640625</v>
      </c>
      <c r="E211">
        <v>2</v>
      </c>
      <c r="F211">
        <v>1185</v>
      </c>
      <c r="G211">
        <f>LN(_dat80[[#This Row],[Expenditure]])</f>
        <v>7.0774980535692311</v>
      </c>
      <c r="H211">
        <f>_dat80[[#This Row],[LOG(Expenditure 80)]]-G210</f>
        <v>-3.7271394797231849E-2</v>
      </c>
      <c r="I211">
        <f>(1+(_dat80[[#This Row],[Expenditure]]-F210)/F210)^12-1</f>
        <v>-0.3606202655963564</v>
      </c>
      <c r="J211" s="2">
        <f>$W$17+$W$18*_dat80[[#This Row],[DecDate]]</f>
        <v>1194.9235476088834</v>
      </c>
      <c r="K211" s="2">
        <f>$W$40+$W$41*_dat80[[#This Row],[DecDate]]+_dat80[[#This Row],[DecDate^2]]*$W$42</f>
        <v>1191.0397999603301</v>
      </c>
      <c r="L211" s="2">
        <f>$AG$17+_dat80[[#This Row],[DecDate]]*$AG$18</f>
        <v>7.0819207274132898</v>
      </c>
      <c r="M211" s="2">
        <f>$AG$40+$AG$41*_dat80[[#This Row],[DecDate]]+_dat80[[#This Row],[DecDate^2]]*$AG$42</f>
        <v>7.0818222924342615</v>
      </c>
      <c r="N211" s="2">
        <f>_dat80[[#This Row],[LOG(Expenditure 80)]]-_dat80[[#This Row],[Linear Trend LOG]]</f>
        <v>-4.4226738440586999E-3</v>
      </c>
      <c r="O211" s="2">
        <f t="shared" si="3"/>
        <v>-4.1016450431930803E-3</v>
      </c>
      <c r="P211" s="2">
        <f>_dat80[[#This Row],[Cycle 80]]+_dat80[[#This Row],[Linear Trend LOG]]</f>
        <v>7.0778190823700964</v>
      </c>
      <c r="Q211" s="2">
        <f>_dat80[[#This Row],[Detrend(Linear)]]-_dat80[[#This Row],[Cycle 80]]</f>
        <v>-3.2102880086561959E-4</v>
      </c>
      <c r="R211" s="2">
        <f>AVERAGEIF(_dat80[Quarter],_dat80[[#This Row],[Quarter]],_dat80[High Frequency])</f>
        <v>-7.1142253495101353E-3</v>
      </c>
      <c r="S211" s="2">
        <f>_dat80[[#This Row],[S0]]-AVERAGE($R$2:$R$5)</f>
        <v>-7.1690436126600685E-3</v>
      </c>
    </row>
    <row r="212" spans="1:19" x14ac:dyDescent="0.35">
      <c r="A212">
        <v>2002</v>
      </c>
      <c r="B212" s="1">
        <f>DATE(_dat80[[#This Row],[Year]],_dat80[[#This Row],[Quarter]]*3-1,15)</f>
        <v>37483</v>
      </c>
      <c r="C212" s="2">
        <f>_dat80[[#This Row],[Year]]+(_dat80[[#This Row],[Quarter]]-1)/4+1/8</f>
        <v>2002.625</v>
      </c>
      <c r="D212" s="2">
        <f>_dat80[[#This Row],[DecDate]]^2</f>
        <v>4010506.890625</v>
      </c>
      <c r="E212">
        <v>3</v>
      </c>
      <c r="F212">
        <v>1211</v>
      </c>
      <c r="G212">
        <f>LN(_dat80[[#This Row],[Expenditure]])</f>
        <v>7.0992017435530919</v>
      </c>
      <c r="H212">
        <f>_dat80[[#This Row],[LOG(Expenditure 80)]]-G211</f>
        <v>2.1703689983860741E-2</v>
      </c>
      <c r="I212">
        <f>(1+(_dat80[[#This Row],[Expenditure]]-F211)/F211)^12-1</f>
        <v>0.29750641452943416</v>
      </c>
      <c r="J212" s="2">
        <f>$W$17+$W$18*_dat80[[#This Row],[DecDate]]</f>
        <v>1196.8477670935426</v>
      </c>
      <c r="K212" s="2">
        <f>$W$40+$W$41*_dat80[[#This Row],[DecDate]]+_dat80[[#This Row],[DecDate^2]]*$W$42</f>
        <v>1193.2079869647132</v>
      </c>
      <c r="L212" s="2">
        <f>$AG$17+_dat80[[#This Row],[DecDate]]*$AG$18</f>
        <v>7.0837361015856652</v>
      </c>
      <c r="M212" s="2">
        <f>$AG$40+$AG$41*_dat80[[#This Row],[DecDate]]+_dat80[[#This Row],[DecDate^2]]*$AG$42</f>
        <v>7.0836438500510477</v>
      </c>
      <c r="N212" s="2">
        <f>_dat80[[#This Row],[LOG(Expenditure 80)]]-_dat80[[#This Row],[Linear Trend LOG]]</f>
        <v>1.5465641967426613E-2</v>
      </c>
      <c r="O212" s="2">
        <f t="shared" si="3"/>
        <v>1.0480119138317433E-2</v>
      </c>
      <c r="P212" s="2">
        <f>_dat80[[#This Row],[Cycle 80]]+_dat80[[#This Row],[Linear Trend LOG]]</f>
        <v>7.0942162207239825</v>
      </c>
      <c r="Q212" s="2">
        <f>_dat80[[#This Row],[Detrend(Linear)]]-_dat80[[#This Row],[Cycle 80]]</f>
        <v>4.9855228291091798E-3</v>
      </c>
      <c r="R212" s="2">
        <f>AVERAGEIF(_dat80[Quarter],_dat80[[#This Row],[Quarter]],_dat80[High Frequency])</f>
        <v>3.946848336706609E-3</v>
      </c>
      <c r="S212" s="2">
        <f>_dat80[[#This Row],[S0]]-AVERAGE($R$2:$R$5)</f>
        <v>3.8920300735566758E-3</v>
      </c>
    </row>
    <row r="213" spans="1:19" x14ac:dyDescent="0.35">
      <c r="A213">
        <v>2002</v>
      </c>
      <c r="B213" s="1">
        <f>DATE(_dat80[[#This Row],[Year]],_dat80[[#This Row],[Quarter]]*3-1,15)</f>
        <v>37575</v>
      </c>
      <c r="C213" s="2">
        <f>_dat80[[#This Row],[Year]]+(_dat80[[#This Row],[Quarter]]-1)/4+1/8</f>
        <v>2002.875</v>
      </c>
      <c r="D213" s="2">
        <f>_dat80[[#This Row],[DecDate]]^2</f>
        <v>4011508.265625</v>
      </c>
      <c r="E213">
        <v>4</v>
      </c>
      <c r="F213">
        <v>1156</v>
      </c>
      <c r="G213">
        <f>LN(_dat80[[#This Row],[Expenditure]])</f>
        <v>7.0527210492323231</v>
      </c>
      <c r="H213">
        <f>_dat80[[#This Row],[LOG(Expenditure 80)]]-G212</f>
        <v>-4.6480694320768734E-2</v>
      </c>
      <c r="I213">
        <f>(1+(_dat80[[#This Row],[Expenditure]]-F212)/F212)^12-1</f>
        <v>-0.42751476360880325</v>
      </c>
      <c r="J213" s="2">
        <f>$W$17+$W$18*_dat80[[#This Row],[DecDate]]</f>
        <v>1198.7719865782019</v>
      </c>
      <c r="K213" s="2">
        <f>$W$40+$W$41*_dat80[[#This Row],[DecDate]]+_dat80[[#This Row],[DecDate^2]]*$W$42</f>
        <v>1195.3797617267264</v>
      </c>
      <c r="L213" s="2">
        <f>$AG$17+_dat80[[#This Row],[DecDate]]*$AG$18</f>
        <v>7.0855514757580425</v>
      </c>
      <c r="M213" s="2">
        <f>$AG$40+$AG$41*_dat80[[#This Row],[DecDate]]+_dat80[[#This Row],[DecDate^2]]*$AG$42</f>
        <v>7.0854654986008399</v>
      </c>
      <c r="N213" s="2">
        <f>_dat80[[#This Row],[LOG(Expenditure 80)]]-_dat80[[#This Row],[Linear Trend LOG]]</f>
        <v>-3.2830426525719325E-2</v>
      </c>
      <c r="O213" s="2">
        <f t="shared" si="3"/>
        <v>1.5477342145816309E-3</v>
      </c>
      <c r="P213" s="2">
        <f>_dat80[[#This Row],[Cycle 80]]+_dat80[[#This Row],[Linear Trend LOG]]</f>
        <v>7.0870992099726244</v>
      </c>
      <c r="Q213" s="2">
        <f>_dat80[[#This Row],[Detrend(Linear)]]-_dat80[[#This Row],[Cycle 80]]</f>
        <v>-3.4378160740300957E-2</v>
      </c>
      <c r="R213" s="2">
        <f>AVERAGEIF(_dat80[Quarter],_dat80[[#This Row],[Quarter]],_dat80[High Frequency])</f>
        <v>-2.9622809170614002E-2</v>
      </c>
      <c r="S213" s="2">
        <f>_dat80[[#This Row],[S0]]-AVERAGE($R$2:$R$5)</f>
        <v>-2.9677627433763936E-2</v>
      </c>
    </row>
    <row r="214" spans="1:19" x14ac:dyDescent="0.35">
      <c r="A214">
        <v>2003</v>
      </c>
      <c r="B214" s="1">
        <f>DATE(_dat80[[#This Row],[Year]],_dat80[[#This Row],[Quarter]]*3-1,15)</f>
        <v>37667</v>
      </c>
      <c r="C214" s="2">
        <f>_dat80[[#This Row],[Year]]+(_dat80[[#This Row],[Quarter]]-1)/4+1/8</f>
        <v>2003.125</v>
      </c>
      <c r="D214" s="2">
        <f>_dat80[[#This Row],[DecDate]]^2</f>
        <v>4012509.765625</v>
      </c>
      <c r="E214">
        <v>1</v>
      </c>
      <c r="F214">
        <v>1245</v>
      </c>
      <c r="G214">
        <f>LN(_dat80[[#This Row],[Expenditure]])</f>
        <v>7.1268908088988079</v>
      </c>
      <c r="H214">
        <f>_dat80[[#This Row],[LOG(Expenditure 80)]]-G213</f>
        <v>7.4169759666484758E-2</v>
      </c>
      <c r="I214">
        <f>(1+(_dat80[[#This Row],[Expenditure]]-F213)/F213)^12-1</f>
        <v>1.4352200352340456</v>
      </c>
      <c r="J214" s="2">
        <f>$W$17+$W$18*_dat80[[#This Row],[DecDate]]</f>
        <v>1200.6962060628612</v>
      </c>
      <c r="K214" s="2">
        <f>$W$40+$W$41*_dat80[[#This Row],[DecDate]]+_dat80[[#This Row],[DecDate^2]]*$W$42</f>
        <v>1197.5551242463989</v>
      </c>
      <c r="L214" s="2">
        <f>$AG$17+_dat80[[#This Row],[DecDate]]*$AG$18</f>
        <v>7.0873668499304197</v>
      </c>
      <c r="M214" s="2">
        <f>$AG$40+$AG$41*_dat80[[#This Row],[DecDate]]+_dat80[[#This Row],[DecDate^2]]*$AG$42</f>
        <v>7.0872872380836398</v>
      </c>
      <c r="N214" s="2">
        <f>_dat80[[#This Row],[LOG(Expenditure 80)]]-_dat80[[#This Row],[Linear Trend LOG]]</f>
        <v>3.9523958968388229E-2</v>
      </c>
      <c r="O214" s="2">
        <f t="shared" si="3"/>
        <v>2.7474925232946036E-3</v>
      </c>
      <c r="P214" s="2">
        <f>_dat80[[#This Row],[Cycle 80]]+_dat80[[#This Row],[Linear Trend LOG]]</f>
        <v>7.0901143424537141</v>
      </c>
      <c r="Q214" s="2">
        <f>_dat80[[#This Row],[Detrend(Linear)]]-_dat80[[#This Row],[Cycle 80]]</f>
        <v>3.6776466445093622E-2</v>
      </c>
      <c r="R214" s="2">
        <f>AVERAGEIF(_dat80[Quarter],_dat80[[#This Row],[Quarter]],_dat80[High Frequency])</f>
        <v>3.3009459236017259E-2</v>
      </c>
      <c r="S214" s="2">
        <f>_dat80[[#This Row],[S0]]-AVERAGE($R$2:$R$5)</f>
        <v>3.2954640972867329E-2</v>
      </c>
    </row>
    <row r="215" spans="1:19" x14ac:dyDescent="0.35">
      <c r="A215">
        <v>2003</v>
      </c>
      <c r="B215" s="1">
        <f>DATE(_dat80[[#This Row],[Year]],_dat80[[#This Row],[Quarter]]*3-1,15)</f>
        <v>37756</v>
      </c>
      <c r="C215" s="2">
        <f>_dat80[[#This Row],[Year]]+(_dat80[[#This Row],[Quarter]]-1)/4+1/8</f>
        <v>2003.375</v>
      </c>
      <c r="D215" s="2">
        <f>_dat80[[#This Row],[DecDate]]^2</f>
        <v>4013511.390625</v>
      </c>
      <c r="E215">
        <v>2</v>
      </c>
      <c r="F215">
        <v>1187</v>
      </c>
      <c r="G215">
        <f>LN(_dat80[[#This Row],[Expenditure]])</f>
        <v>7.0791843946096682</v>
      </c>
      <c r="H215">
        <f>_dat80[[#This Row],[LOG(Expenditure 80)]]-G214</f>
        <v>-4.7706414289139687E-2</v>
      </c>
      <c r="I215">
        <f>(1+(_dat80[[#This Row],[Expenditure]]-F214)/F214)^12-1</f>
        <v>-0.43587361825011206</v>
      </c>
      <c r="J215" s="2">
        <f>$W$17+$W$18*_dat80[[#This Row],[DecDate]]</f>
        <v>1202.6204255475204</v>
      </c>
      <c r="K215" s="2">
        <f>$W$40+$W$41*_dat80[[#This Row],[DecDate]]+_dat80[[#This Row],[DecDate^2]]*$W$42</f>
        <v>1199.7340745237161</v>
      </c>
      <c r="L215" s="2">
        <f>$AG$17+_dat80[[#This Row],[DecDate]]*$AG$18</f>
        <v>7.0891822241027969</v>
      </c>
      <c r="M215" s="2">
        <f>$AG$40+$AG$41*_dat80[[#This Row],[DecDate]]+_dat80[[#This Row],[DecDate^2]]*$AG$42</f>
        <v>7.089109068499444</v>
      </c>
      <c r="N215" s="2">
        <f>_dat80[[#This Row],[LOG(Expenditure 80)]]-_dat80[[#This Row],[Linear Trend LOG]]</f>
        <v>-9.9978294931286626E-3</v>
      </c>
      <c r="O215" s="2">
        <f t="shared" si="3"/>
        <v>-6.8129571597404844E-3</v>
      </c>
      <c r="P215" s="2">
        <f>_dat80[[#This Row],[Cycle 80]]+_dat80[[#This Row],[Linear Trend LOG]]</f>
        <v>7.082369266943056</v>
      </c>
      <c r="Q215" s="2">
        <f>_dat80[[#This Row],[Detrend(Linear)]]-_dat80[[#This Row],[Cycle 80]]</f>
        <v>-3.1848723333881782E-3</v>
      </c>
      <c r="R215" s="2">
        <f>AVERAGEIF(_dat80[Quarter],_dat80[[#This Row],[Quarter]],_dat80[High Frequency])</f>
        <v>-7.1142253495101353E-3</v>
      </c>
      <c r="S215" s="2">
        <f>_dat80[[#This Row],[S0]]-AVERAGE($R$2:$R$5)</f>
        <v>-7.1690436126600685E-3</v>
      </c>
    </row>
    <row r="216" spans="1:19" x14ac:dyDescent="0.35">
      <c r="A216">
        <v>2003</v>
      </c>
      <c r="B216" s="1">
        <f>DATE(_dat80[[#This Row],[Year]],_dat80[[#This Row],[Quarter]]*3-1,15)</f>
        <v>37848</v>
      </c>
      <c r="C216" s="2">
        <f>_dat80[[#This Row],[Year]]+(_dat80[[#This Row],[Quarter]]-1)/4+1/8</f>
        <v>2003.625</v>
      </c>
      <c r="D216" s="2">
        <f>_dat80[[#This Row],[DecDate]]^2</f>
        <v>4014513.140625</v>
      </c>
      <c r="E216">
        <v>3</v>
      </c>
      <c r="F216">
        <v>1203</v>
      </c>
      <c r="G216">
        <f>LN(_dat80[[#This Row],[Expenditure]])</f>
        <v>7.0925737159746784</v>
      </c>
      <c r="H216">
        <f>_dat80[[#This Row],[LOG(Expenditure 80)]]-G215</f>
        <v>1.3389321365010254E-2</v>
      </c>
      <c r="I216">
        <f>(1+(_dat80[[#This Row],[Expenditure]]-F215)/F215)^12-1</f>
        <v>0.17429956667308399</v>
      </c>
      <c r="J216" s="2">
        <f>$W$17+$W$18*_dat80[[#This Row],[DecDate]]</f>
        <v>1204.5446450321815</v>
      </c>
      <c r="K216" s="2">
        <f>$W$40+$W$41*_dat80[[#This Row],[DecDate]]+_dat80[[#This Row],[DecDate^2]]*$W$42</f>
        <v>1201.916612558678</v>
      </c>
      <c r="L216" s="2">
        <f>$AG$17+_dat80[[#This Row],[DecDate]]*$AG$18</f>
        <v>7.0909975982751723</v>
      </c>
      <c r="M216" s="2">
        <f>$AG$40+$AG$41*_dat80[[#This Row],[DecDate]]+_dat80[[#This Row],[DecDate^2]]*$AG$42</f>
        <v>7.0909309898482569</v>
      </c>
      <c r="N216" s="2">
        <f>_dat80[[#This Row],[LOG(Expenditure 80)]]-_dat80[[#This Row],[Linear Trend LOG]]</f>
        <v>1.5761176995061632E-3</v>
      </c>
      <c r="O216" s="2">
        <f t="shared" si="3"/>
        <v>6.0449134812429863E-3</v>
      </c>
      <c r="P216" s="2">
        <f>_dat80[[#This Row],[Cycle 80]]+_dat80[[#This Row],[Linear Trend LOG]]</f>
        <v>7.0970425117564151</v>
      </c>
      <c r="Q216" s="2">
        <f>_dat80[[#This Row],[Detrend(Linear)]]-_dat80[[#This Row],[Cycle 80]]</f>
        <v>-4.4687957817368231E-3</v>
      </c>
      <c r="R216" s="2">
        <f>AVERAGEIF(_dat80[Quarter],_dat80[[#This Row],[Quarter]],_dat80[High Frequency])</f>
        <v>3.946848336706609E-3</v>
      </c>
      <c r="S216" s="2">
        <f>_dat80[[#This Row],[S0]]-AVERAGE($R$2:$R$5)</f>
        <v>3.8920300735566758E-3</v>
      </c>
    </row>
    <row r="217" spans="1:19" x14ac:dyDescent="0.35">
      <c r="A217">
        <v>2003</v>
      </c>
      <c r="B217" s="1">
        <f>DATE(_dat80[[#This Row],[Year]],_dat80[[#This Row],[Quarter]]*3-1,15)</f>
        <v>37940</v>
      </c>
      <c r="C217" s="2">
        <f>_dat80[[#This Row],[Year]]+(_dat80[[#This Row],[Quarter]]-1)/4+1/8</f>
        <v>2003.875</v>
      </c>
      <c r="D217" s="2">
        <f>_dat80[[#This Row],[DecDate]]^2</f>
        <v>4015515.015625</v>
      </c>
      <c r="E217">
        <v>4</v>
      </c>
      <c r="F217">
        <v>1165</v>
      </c>
      <c r="G217">
        <f>LN(_dat80[[#This Row],[Expenditure]])</f>
        <v>7.0604763659998007</v>
      </c>
      <c r="H217">
        <f>_dat80[[#This Row],[LOG(Expenditure 80)]]-G216</f>
        <v>-3.2097349974877787E-2</v>
      </c>
      <c r="I217">
        <f>(1+(_dat80[[#This Row],[Expenditure]]-F216)/F216)^12-1</f>
        <v>-0.31966380576246756</v>
      </c>
      <c r="J217" s="2">
        <f>$W$17+$W$18*_dat80[[#This Row],[DecDate]]</f>
        <v>1206.4688645168408</v>
      </c>
      <c r="K217" s="2">
        <f>$W$40+$W$41*_dat80[[#This Row],[DecDate]]+_dat80[[#This Row],[DecDate^2]]*$W$42</f>
        <v>1204.1027383512846</v>
      </c>
      <c r="L217" s="2">
        <f>$AG$17+_dat80[[#This Row],[DecDate]]*$AG$18</f>
        <v>7.0928129724475495</v>
      </c>
      <c r="M217" s="2">
        <f>$AG$40+$AG$41*_dat80[[#This Row],[DecDate]]+_dat80[[#This Row],[DecDate^2]]*$AG$42</f>
        <v>7.0927530021300722</v>
      </c>
      <c r="N217" s="2">
        <f>_dat80[[#This Row],[LOG(Expenditure 80)]]-_dat80[[#This Row],[Linear Trend LOG]]</f>
        <v>-3.2336606447748828E-2</v>
      </c>
      <c r="O217" s="2">
        <f t="shared" si="3"/>
        <v>-2.9666580548983745E-3</v>
      </c>
      <c r="P217" s="2">
        <f>_dat80[[#This Row],[Cycle 80]]+_dat80[[#This Row],[Linear Trend LOG]]</f>
        <v>7.0898463143926511</v>
      </c>
      <c r="Q217" s="2">
        <f>_dat80[[#This Row],[Detrend(Linear)]]-_dat80[[#This Row],[Cycle 80]]</f>
        <v>-2.9369948392850453E-2</v>
      </c>
      <c r="R217" s="2">
        <f>AVERAGEIF(_dat80[Quarter],_dat80[[#This Row],[Quarter]],_dat80[High Frequency])</f>
        <v>-2.9622809170614002E-2</v>
      </c>
      <c r="S217" s="2">
        <f>_dat80[[#This Row],[S0]]-AVERAGE($R$2:$R$5)</f>
        <v>-2.9677627433763936E-2</v>
      </c>
    </row>
    <row r="218" spans="1:19" x14ac:dyDescent="0.35">
      <c r="A218">
        <v>2004</v>
      </c>
      <c r="B218" s="1">
        <f>DATE(_dat80[[#This Row],[Year]],_dat80[[#This Row],[Quarter]]*3-1,15)</f>
        <v>38032</v>
      </c>
      <c r="C218" s="2">
        <f>_dat80[[#This Row],[Year]]+(_dat80[[#This Row],[Quarter]]-1)/4+1/8</f>
        <v>2004.125</v>
      </c>
      <c r="D218" s="2">
        <f>_dat80[[#This Row],[DecDate]]^2</f>
        <v>4016517.015625</v>
      </c>
      <c r="E218">
        <v>1</v>
      </c>
      <c r="F218">
        <v>1244</v>
      </c>
      <c r="G218">
        <f>LN(_dat80[[#This Row],[Expenditure]])</f>
        <v>7.1260872732991247</v>
      </c>
      <c r="H218">
        <f>_dat80[[#This Row],[LOG(Expenditure 80)]]-G217</f>
        <v>6.5610907299324062E-2</v>
      </c>
      <c r="I218">
        <f>(1+(_dat80[[#This Row],[Expenditure]]-F217)/F217)^12-1</f>
        <v>1.1975231552117758</v>
      </c>
      <c r="J218" s="2">
        <f>$W$17+$W$18*_dat80[[#This Row],[DecDate]]</f>
        <v>1208.3930840015</v>
      </c>
      <c r="K218" s="2">
        <f>$W$40+$W$41*_dat80[[#This Row],[DecDate]]+_dat80[[#This Row],[DecDate^2]]*$W$42</f>
        <v>1206.2924519015069</v>
      </c>
      <c r="L218" s="2">
        <f>$AG$17+_dat80[[#This Row],[DecDate]]*$AG$18</f>
        <v>7.0946283466199267</v>
      </c>
      <c r="M218" s="2">
        <f>$AG$40+$AG$41*_dat80[[#This Row],[DecDate]]+_dat80[[#This Row],[DecDate^2]]*$AG$42</f>
        <v>7.0945751053448944</v>
      </c>
      <c r="N218" s="2">
        <f>_dat80[[#This Row],[LOG(Expenditure 80)]]-_dat80[[#This Row],[Linear Trend LOG]]</f>
        <v>3.1458926679198029E-2</v>
      </c>
      <c r="O218" s="2">
        <f t="shared" si="3"/>
        <v>1.3569814652457878E-3</v>
      </c>
      <c r="P218" s="2">
        <f>_dat80[[#This Row],[Cycle 80]]+_dat80[[#This Row],[Linear Trend LOG]]</f>
        <v>7.0959853280851721</v>
      </c>
      <c r="Q218" s="2">
        <f>_dat80[[#This Row],[Detrend(Linear)]]-_dat80[[#This Row],[Cycle 80]]</f>
        <v>3.0101945213952243E-2</v>
      </c>
      <c r="R218" s="2">
        <f>AVERAGEIF(_dat80[Quarter],_dat80[[#This Row],[Quarter]],_dat80[High Frequency])</f>
        <v>3.3009459236017259E-2</v>
      </c>
      <c r="S218" s="2">
        <f>_dat80[[#This Row],[S0]]-AVERAGE($R$2:$R$5)</f>
        <v>3.2954640972867329E-2</v>
      </c>
    </row>
    <row r="219" spans="1:19" x14ac:dyDescent="0.35">
      <c r="A219">
        <v>2004</v>
      </c>
      <c r="B219" s="1">
        <f>DATE(_dat80[[#This Row],[Year]],_dat80[[#This Row],[Quarter]]*3-1,15)</f>
        <v>38122</v>
      </c>
      <c r="C219" s="2">
        <f>_dat80[[#This Row],[Year]]+(_dat80[[#This Row],[Quarter]]-1)/4+1/8</f>
        <v>2004.375</v>
      </c>
      <c r="D219" s="2">
        <f>_dat80[[#This Row],[DecDate]]^2</f>
        <v>4017519.140625</v>
      </c>
      <c r="E219">
        <v>2</v>
      </c>
      <c r="F219">
        <v>1201</v>
      </c>
      <c r="G219">
        <f>LN(_dat80[[#This Row],[Expenditure]])</f>
        <v>7.0909098220799835</v>
      </c>
      <c r="H219">
        <f>_dat80[[#This Row],[LOG(Expenditure 80)]]-G218</f>
        <v>-3.5177451219141176E-2</v>
      </c>
      <c r="I219">
        <f>(1+(_dat80[[#This Row],[Expenditure]]-F218)/F218)^12-1</f>
        <v>-0.34435081669351686</v>
      </c>
      <c r="J219" s="2">
        <f>$W$17+$W$18*_dat80[[#This Row],[DecDate]]</f>
        <v>1210.3173034861593</v>
      </c>
      <c r="K219" s="2">
        <f>$W$40+$W$41*_dat80[[#This Row],[DecDate]]+_dat80[[#This Row],[DecDate^2]]*$W$42</f>
        <v>1208.4857532094029</v>
      </c>
      <c r="L219" s="2">
        <f>$AG$17+_dat80[[#This Row],[DecDate]]*$AG$18</f>
        <v>7.0964437207923021</v>
      </c>
      <c r="M219" s="2">
        <f>$AG$40+$AG$41*_dat80[[#This Row],[DecDate]]+_dat80[[#This Row],[DecDate^2]]*$AG$42</f>
        <v>7.0963972994927254</v>
      </c>
      <c r="N219" s="2">
        <f>_dat80[[#This Row],[LOG(Expenditure 80)]]-_dat80[[#This Row],[Linear Trend LOG]]</f>
        <v>-5.5338987123185746E-3</v>
      </c>
      <c r="O219" s="2">
        <f t="shared" si="3"/>
        <v>-4.1497726625943088E-3</v>
      </c>
      <c r="P219" s="2">
        <f>_dat80[[#This Row],[Cycle 80]]+_dat80[[#This Row],[Linear Trend LOG]]</f>
        <v>7.0922939481297078</v>
      </c>
      <c r="Q219" s="2">
        <f>_dat80[[#This Row],[Detrend(Linear)]]-_dat80[[#This Row],[Cycle 80]]</f>
        <v>-1.3841260497242658E-3</v>
      </c>
      <c r="R219" s="2">
        <f>AVERAGEIF(_dat80[Quarter],_dat80[[#This Row],[Quarter]],_dat80[High Frequency])</f>
        <v>-7.1142253495101353E-3</v>
      </c>
      <c r="S219" s="2">
        <f>_dat80[[#This Row],[S0]]-AVERAGE($R$2:$R$5)</f>
        <v>-7.1690436126600685E-3</v>
      </c>
    </row>
    <row r="220" spans="1:19" x14ac:dyDescent="0.35">
      <c r="A220">
        <v>2004</v>
      </c>
      <c r="B220" s="1">
        <f>DATE(_dat80[[#This Row],[Year]],_dat80[[#This Row],[Quarter]]*3-1,15)</f>
        <v>38214</v>
      </c>
      <c r="C220" s="2">
        <f>_dat80[[#This Row],[Year]]+(_dat80[[#This Row],[Quarter]]-1)/4+1/8</f>
        <v>2004.625</v>
      </c>
      <c r="D220" s="2">
        <f>_dat80[[#This Row],[DecDate]]^2</f>
        <v>4018521.390625</v>
      </c>
      <c r="E220">
        <v>3</v>
      </c>
      <c r="F220">
        <v>1224</v>
      </c>
      <c r="G220">
        <f>LN(_dat80[[#This Row],[Expenditure]])</f>
        <v>7.1098794630722715</v>
      </c>
      <c r="H220">
        <f>_dat80[[#This Row],[LOG(Expenditure 80)]]-G219</f>
        <v>1.8969640992287928E-2</v>
      </c>
      <c r="I220">
        <f>(1+(_dat80[[#This Row],[Expenditure]]-F219)/F219)^12-1</f>
        <v>0.25562780672730567</v>
      </c>
      <c r="J220" s="2">
        <f>$W$17+$W$18*_dat80[[#This Row],[DecDate]]</f>
        <v>1212.2415229708186</v>
      </c>
      <c r="K220" s="2">
        <f>$W$40+$W$41*_dat80[[#This Row],[DecDate]]+_dat80[[#This Row],[DecDate^2]]*$W$42</f>
        <v>1210.6826422749436</v>
      </c>
      <c r="L220" s="2">
        <f>$AG$17+_dat80[[#This Row],[DecDate]]*$AG$18</f>
        <v>7.0982590949646793</v>
      </c>
      <c r="M220" s="2">
        <f>$AG$40+$AG$41*_dat80[[#This Row],[DecDate]]+_dat80[[#This Row],[DecDate^2]]*$AG$42</f>
        <v>7.0982195845735596</v>
      </c>
      <c r="N220" s="2">
        <f>_dat80[[#This Row],[LOG(Expenditure 80)]]-_dat80[[#This Row],[Linear Trend LOG]]</f>
        <v>1.1620368107592149E-2</v>
      </c>
      <c r="O220" s="2">
        <f t="shared" si="3"/>
        <v>7.4783198345487632E-3</v>
      </c>
      <c r="P220" s="2">
        <f>_dat80[[#This Row],[Cycle 80]]+_dat80[[#This Row],[Linear Trend LOG]]</f>
        <v>7.1057374147992283</v>
      </c>
      <c r="Q220" s="2">
        <f>_dat80[[#This Row],[Detrend(Linear)]]-_dat80[[#This Row],[Cycle 80]]</f>
        <v>4.1420482730433862E-3</v>
      </c>
      <c r="R220" s="2">
        <f>AVERAGEIF(_dat80[Quarter],_dat80[[#This Row],[Quarter]],_dat80[High Frequency])</f>
        <v>3.946848336706609E-3</v>
      </c>
      <c r="S220" s="2">
        <f>_dat80[[#This Row],[S0]]-AVERAGE($R$2:$R$5)</f>
        <v>3.8920300735566758E-3</v>
      </c>
    </row>
    <row r="221" spans="1:19" x14ac:dyDescent="0.35">
      <c r="A221">
        <v>2004</v>
      </c>
      <c r="B221" s="1">
        <f>DATE(_dat80[[#This Row],[Year]],_dat80[[#This Row],[Quarter]]*3-1,15)</f>
        <v>38306</v>
      </c>
      <c r="C221" s="2">
        <f>_dat80[[#This Row],[Year]]+(_dat80[[#This Row],[Quarter]]-1)/4+1/8</f>
        <v>2004.875</v>
      </c>
      <c r="D221" s="2">
        <f>_dat80[[#This Row],[DecDate]]^2</f>
        <v>4019523.765625</v>
      </c>
      <c r="E221">
        <v>4</v>
      </c>
      <c r="F221">
        <v>1181</v>
      </c>
      <c r="G221">
        <f>LN(_dat80[[#This Row],[Expenditure]])</f>
        <v>7.0741168161973622</v>
      </c>
      <c r="H221">
        <f>_dat80[[#This Row],[LOG(Expenditure 80)]]-G220</f>
        <v>-3.5762646874909265E-2</v>
      </c>
      <c r="I221">
        <f>(1+(_dat80[[#This Row],[Expenditure]]-F220)/F220)^12-1</f>
        <v>-0.34893888497867753</v>
      </c>
      <c r="J221" s="2">
        <f>$W$17+$W$18*_dat80[[#This Row],[DecDate]]</f>
        <v>1214.1657424554778</v>
      </c>
      <c r="K221" s="2">
        <f>$W$40+$W$41*_dat80[[#This Row],[DecDate]]+_dat80[[#This Row],[DecDate^2]]*$W$42</f>
        <v>1212.8831190981145</v>
      </c>
      <c r="L221" s="2">
        <f>$AG$17+_dat80[[#This Row],[DecDate]]*$AG$18</f>
        <v>7.1000744691370565</v>
      </c>
      <c r="M221" s="2">
        <f>$AG$40+$AG$41*_dat80[[#This Row],[DecDate]]+_dat80[[#This Row],[DecDate^2]]*$AG$42</f>
        <v>7.1000419605874026</v>
      </c>
      <c r="N221" s="2">
        <f>_dat80[[#This Row],[LOG(Expenditure 80)]]-_dat80[[#This Row],[Linear Trend LOG]]</f>
        <v>-2.595765293969432E-2</v>
      </c>
      <c r="O221" s="2">
        <f t="shared" si="3"/>
        <v>-2.1023329870057951E-4</v>
      </c>
      <c r="P221" s="2">
        <f>_dat80[[#This Row],[Cycle 80]]+_dat80[[#This Row],[Linear Trend LOG]]</f>
        <v>7.0998642358383561</v>
      </c>
      <c r="Q221" s="2">
        <f>_dat80[[#This Row],[Detrend(Linear)]]-_dat80[[#This Row],[Cycle 80]]</f>
        <v>-2.5747419640993741E-2</v>
      </c>
      <c r="R221" s="2">
        <f>AVERAGEIF(_dat80[Quarter],_dat80[[#This Row],[Quarter]],_dat80[High Frequency])</f>
        <v>-2.9622809170614002E-2</v>
      </c>
      <c r="S221" s="2">
        <f>_dat80[[#This Row],[S0]]-AVERAGE($R$2:$R$5)</f>
        <v>-2.9677627433763936E-2</v>
      </c>
    </row>
    <row r="222" spans="1:19" x14ac:dyDescent="0.35">
      <c r="A222">
        <v>2005</v>
      </c>
      <c r="B222" s="1">
        <f>DATE(_dat80[[#This Row],[Year]],_dat80[[#This Row],[Quarter]]*3-1,15)</f>
        <v>38398</v>
      </c>
      <c r="C222" s="2">
        <f>_dat80[[#This Row],[Year]]+(_dat80[[#This Row],[Quarter]]-1)/4+1/8</f>
        <v>2005.125</v>
      </c>
      <c r="D222" s="2">
        <f>_dat80[[#This Row],[DecDate]]^2</f>
        <v>4020526.265625</v>
      </c>
      <c r="E222">
        <v>1</v>
      </c>
      <c r="F222">
        <v>1246</v>
      </c>
      <c r="G222">
        <f>LN(_dat80[[#This Row],[Expenditure]])</f>
        <v>7.1276936993473985</v>
      </c>
      <c r="H222">
        <f>_dat80[[#This Row],[LOG(Expenditure 80)]]-G221</f>
        <v>5.3576883150036281E-2</v>
      </c>
      <c r="I222">
        <f>(1+(_dat80[[#This Row],[Expenditure]]-F221)/F221)^12-1</f>
        <v>0.90203163751722526</v>
      </c>
      <c r="J222" s="2">
        <f>$W$17+$W$18*_dat80[[#This Row],[DecDate]]</f>
        <v>1216.0899619401371</v>
      </c>
      <c r="K222" s="2">
        <f>$W$40+$W$41*_dat80[[#This Row],[DecDate]]+_dat80[[#This Row],[DecDate^2]]*$W$42</f>
        <v>1215.0871836789011</v>
      </c>
      <c r="L222" s="2">
        <f>$AG$17+_dat80[[#This Row],[DecDate]]*$AG$18</f>
        <v>7.101889843309432</v>
      </c>
      <c r="M222" s="2">
        <f>$AG$40+$AG$41*_dat80[[#This Row],[DecDate]]+_dat80[[#This Row],[DecDate^2]]*$AG$42</f>
        <v>7.1018644275342488</v>
      </c>
      <c r="N222" s="2">
        <f>_dat80[[#This Row],[LOG(Expenditure 80)]]-_dat80[[#This Row],[Linear Trend LOG]]</f>
        <v>2.5803856037966533E-2</v>
      </c>
      <c r="O222" s="2">
        <f t="shared" si="3"/>
        <v>3.395669005992552E-3</v>
      </c>
      <c r="P222" s="2">
        <f>_dat80[[#This Row],[Cycle 80]]+_dat80[[#This Row],[Linear Trend LOG]]</f>
        <v>7.1052855123154242</v>
      </c>
      <c r="Q222" s="2">
        <f>_dat80[[#This Row],[Detrend(Linear)]]-_dat80[[#This Row],[Cycle 80]]</f>
        <v>2.2408187031973982E-2</v>
      </c>
      <c r="R222" s="2">
        <f>AVERAGEIF(_dat80[Quarter],_dat80[[#This Row],[Quarter]],_dat80[High Frequency])</f>
        <v>3.3009459236017259E-2</v>
      </c>
      <c r="S222" s="2">
        <f>_dat80[[#This Row],[S0]]-AVERAGE($R$2:$R$5)</f>
        <v>3.2954640972867329E-2</v>
      </c>
    </row>
    <row r="223" spans="1:19" x14ac:dyDescent="0.35">
      <c r="A223">
        <v>2005</v>
      </c>
      <c r="B223" s="1">
        <f>DATE(_dat80[[#This Row],[Year]],_dat80[[#This Row],[Quarter]]*3-1,15)</f>
        <v>38487</v>
      </c>
      <c r="C223" s="2">
        <f>_dat80[[#This Row],[Year]]+(_dat80[[#This Row],[Quarter]]-1)/4+1/8</f>
        <v>2005.375</v>
      </c>
      <c r="D223" s="2">
        <f>_dat80[[#This Row],[DecDate]]^2</f>
        <v>4021528.890625</v>
      </c>
      <c r="E223">
        <v>2</v>
      </c>
      <c r="F223">
        <v>1208</v>
      </c>
      <c r="G223">
        <f>LN(_dat80[[#This Row],[Expenditure]])</f>
        <v>7.0967213784947605</v>
      </c>
      <c r="H223">
        <f>_dat80[[#This Row],[LOG(Expenditure 80)]]-G222</f>
        <v>-3.0972320852638013E-2</v>
      </c>
      <c r="I223">
        <f>(1+(_dat80[[#This Row],[Expenditure]]-F222)/F222)^12-1</f>
        <v>-0.31041675059363161</v>
      </c>
      <c r="J223" s="2">
        <f>$W$17+$W$18*_dat80[[#This Row],[DecDate]]</f>
        <v>1218.0141814247963</v>
      </c>
      <c r="K223" s="2">
        <f>$W$40+$W$41*_dat80[[#This Row],[DecDate]]+_dat80[[#This Row],[DecDate^2]]*$W$42</f>
        <v>1217.2948360173759</v>
      </c>
      <c r="L223" s="2">
        <f>$AG$17+_dat80[[#This Row],[DecDate]]*$AG$18</f>
        <v>7.1037052174818092</v>
      </c>
      <c r="M223" s="2">
        <f>$AG$40+$AG$41*_dat80[[#This Row],[DecDate]]+_dat80[[#This Row],[DecDate^2]]*$AG$42</f>
        <v>7.1036869854141012</v>
      </c>
      <c r="N223" s="2">
        <f>_dat80[[#This Row],[LOG(Expenditure 80)]]-_dat80[[#This Row],[Linear Trend LOG]]</f>
        <v>-6.983838987048685E-3</v>
      </c>
      <c r="O223" s="2">
        <f t="shared" si="3"/>
        <v>-4.7272818693043558E-3</v>
      </c>
      <c r="P223" s="2">
        <f>_dat80[[#This Row],[Cycle 80]]+_dat80[[#This Row],[Linear Trend LOG]]</f>
        <v>7.0989779356125045</v>
      </c>
      <c r="Q223" s="2">
        <f>_dat80[[#This Row],[Detrend(Linear)]]-_dat80[[#This Row],[Cycle 80]]</f>
        <v>-2.2565571177443292E-3</v>
      </c>
      <c r="R223" s="2">
        <f>AVERAGEIF(_dat80[Quarter],_dat80[[#This Row],[Quarter]],_dat80[High Frequency])</f>
        <v>-7.1142253495101353E-3</v>
      </c>
      <c r="S223" s="2">
        <f>_dat80[[#This Row],[S0]]-AVERAGE($R$2:$R$5)</f>
        <v>-7.1690436126600685E-3</v>
      </c>
    </row>
    <row r="224" spans="1:19" x14ac:dyDescent="0.35">
      <c r="A224">
        <v>2005</v>
      </c>
      <c r="B224" s="1">
        <f>DATE(_dat80[[#This Row],[Year]],_dat80[[#This Row],[Quarter]]*3-1,15)</f>
        <v>38579</v>
      </c>
      <c r="C224" s="2">
        <f>_dat80[[#This Row],[Year]]+(_dat80[[#This Row],[Quarter]]-1)/4+1/8</f>
        <v>2005.625</v>
      </c>
      <c r="D224" s="2">
        <f>_dat80[[#This Row],[DecDate]]^2</f>
        <v>4022531.640625</v>
      </c>
      <c r="E224">
        <v>3</v>
      </c>
      <c r="F224">
        <v>1234</v>
      </c>
      <c r="G224">
        <f>LN(_dat80[[#This Row],[Expenditure]])</f>
        <v>7.1180162044653335</v>
      </c>
      <c r="H224">
        <f>_dat80[[#This Row],[LOG(Expenditure 80)]]-G223</f>
        <v>2.1294825970572973E-2</v>
      </c>
      <c r="I224">
        <f>(1+(_dat80[[#This Row],[Expenditure]]-F223)/F223)^12-1</f>
        <v>0.29115596193893434</v>
      </c>
      <c r="J224" s="2">
        <f>$W$17+$W$18*_dat80[[#This Row],[DecDate]]</f>
        <v>1219.9384009094574</v>
      </c>
      <c r="K224" s="2">
        <f>$W$40+$W$41*_dat80[[#This Row],[DecDate]]+_dat80[[#This Row],[DecDate^2]]*$W$42</f>
        <v>1219.506076113481</v>
      </c>
      <c r="L224" s="2">
        <f>$AG$17+_dat80[[#This Row],[DecDate]]*$AG$18</f>
        <v>7.1055205916541864</v>
      </c>
      <c r="M224" s="2">
        <f>$AG$40+$AG$41*_dat80[[#This Row],[DecDate]]+_dat80[[#This Row],[DecDate^2]]*$AG$42</f>
        <v>7.1055096342269612</v>
      </c>
      <c r="N224" s="2">
        <f>_dat80[[#This Row],[LOG(Expenditure 80)]]-_dat80[[#This Row],[Linear Trend LOG]]</f>
        <v>1.2495612811147083E-2</v>
      </c>
      <c r="O224" s="2">
        <f t="shared" si="3"/>
        <v>5.9306224368961937E-3</v>
      </c>
      <c r="P224" s="2">
        <f>_dat80[[#This Row],[Cycle 80]]+_dat80[[#This Row],[Linear Trend LOG]]</f>
        <v>7.1114512140910824</v>
      </c>
      <c r="Q224" s="2">
        <f>_dat80[[#This Row],[Detrend(Linear)]]-_dat80[[#This Row],[Cycle 80]]</f>
        <v>6.5649903742508895E-3</v>
      </c>
      <c r="R224" s="2">
        <f>AVERAGEIF(_dat80[Quarter],_dat80[[#This Row],[Quarter]],_dat80[High Frequency])</f>
        <v>3.946848336706609E-3</v>
      </c>
      <c r="S224" s="2">
        <f>_dat80[[#This Row],[S0]]-AVERAGE($R$2:$R$5)</f>
        <v>3.8920300735566758E-3</v>
      </c>
    </row>
    <row r="225" spans="1:19" x14ac:dyDescent="0.35">
      <c r="A225">
        <v>2005</v>
      </c>
      <c r="B225" s="1">
        <f>DATE(_dat80[[#This Row],[Year]],_dat80[[#This Row],[Quarter]]*3-1,15)</f>
        <v>38671</v>
      </c>
      <c r="C225" s="2">
        <f>_dat80[[#This Row],[Year]]+(_dat80[[#This Row],[Quarter]]-1)/4+1/8</f>
        <v>2005.875</v>
      </c>
      <c r="D225" s="2">
        <f>_dat80[[#This Row],[DecDate]]^2</f>
        <v>4023534.515625</v>
      </c>
      <c r="E225">
        <v>4</v>
      </c>
      <c r="F225">
        <v>1186</v>
      </c>
      <c r="G225">
        <f>LN(_dat80[[#This Row],[Expenditure]])</f>
        <v>7.0783415795576712</v>
      </c>
      <c r="H225">
        <f>_dat80[[#This Row],[LOG(Expenditure 80)]]-G224</f>
        <v>-3.967462490766227E-2</v>
      </c>
      <c r="I225">
        <f>(1+(_dat80[[#This Row],[Expenditure]]-F224)/F224)^12-1</f>
        <v>-0.37879584489381768</v>
      </c>
      <c r="J225" s="2">
        <f>$W$17+$W$18*_dat80[[#This Row],[DecDate]]</f>
        <v>1221.8626203941167</v>
      </c>
      <c r="K225" s="2">
        <f>$W$40+$W$41*_dat80[[#This Row],[DecDate]]+_dat80[[#This Row],[DecDate^2]]*$W$42</f>
        <v>1221.7209039672307</v>
      </c>
      <c r="L225" s="2">
        <f>$AG$17+_dat80[[#This Row],[DecDate]]*$AG$18</f>
        <v>7.1073359658265636</v>
      </c>
      <c r="M225" s="2">
        <f>$AG$40+$AG$41*_dat80[[#This Row],[DecDate]]+_dat80[[#This Row],[DecDate^2]]*$AG$42</f>
        <v>7.1073323739728256</v>
      </c>
      <c r="N225" s="2">
        <f>_dat80[[#This Row],[LOG(Expenditure 80)]]-_dat80[[#This Row],[Linear Trend LOG]]</f>
        <v>-2.8994386268892391E-2</v>
      </c>
      <c r="O225" s="2">
        <f t="shared" si="3"/>
        <v>-1.5831428943419823E-3</v>
      </c>
      <c r="P225" s="2">
        <f>_dat80[[#This Row],[Cycle 80]]+_dat80[[#This Row],[Linear Trend LOG]]</f>
        <v>7.1057528229322218</v>
      </c>
      <c r="Q225" s="2">
        <f>_dat80[[#This Row],[Detrend(Linear)]]-_dat80[[#This Row],[Cycle 80]]</f>
        <v>-2.741124337455041E-2</v>
      </c>
      <c r="R225" s="2">
        <f>AVERAGEIF(_dat80[Quarter],_dat80[[#This Row],[Quarter]],_dat80[High Frequency])</f>
        <v>-2.9622809170614002E-2</v>
      </c>
      <c r="S225" s="2">
        <f>_dat80[[#This Row],[S0]]-AVERAGE($R$2:$R$5)</f>
        <v>-2.9677627433763936E-2</v>
      </c>
    </row>
    <row r="226" spans="1:19" x14ac:dyDescent="0.35">
      <c r="A226">
        <v>2006</v>
      </c>
      <c r="B226" s="1">
        <f>DATE(_dat80[[#This Row],[Year]],_dat80[[#This Row],[Quarter]]*3-1,15)</f>
        <v>38763</v>
      </c>
      <c r="C226" s="2">
        <f>_dat80[[#This Row],[Year]]+(_dat80[[#This Row],[Quarter]]-1)/4+1/8</f>
        <v>2006.125</v>
      </c>
      <c r="D226" s="2">
        <f>_dat80[[#This Row],[DecDate]]^2</f>
        <v>4024537.515625</v>
      </c>
      <c r="E226">
        <v>1</v>
      </c>
      <c r="F226">
        <v>1257</v>
      </c>
      <c r="G226">
        <f>LN(_dat80[[#This Row],[Expenditure]])</f>
        <v>7.1364832085902474</v>
      </c>
      <c r="H226">
        <f>_dat80[[#This Row],[LOG(Expenditure 80)]]-G225</f>
        <v>5.8141629032576247E-2</v>
      </c>
      <c r="I226">
        <f>(1+(_dat80[[#This Row],[Expenditure]]-F225)/F225)^12-1</f>
        <v>1.0091254911984771</v>
      </c>
      <c r="J226" s="2">
        <f>$W$17+$W$18*_dat80[[#This Row],[DecDate]]</f>
        <v>1223.7868398787759</v>
      </c>
      <c r="K226" s="2">
        <f>$W$40+$W$41*_dat80[[#This Row],[DecDate]]+_dat80[[#This Row],[DecDate^2]]*$W$42</f>
        <v>1223.9393195786251</v>
      </c>
      <c r="L226" s="2">
        <f>$AG$17+_dat80[[#This Row],[DecDate]]*$AG$18</f>
        <v>7.109151339998939</v>
      </c>
      <c r="M226" s="2">
        <f>$AG$40+$AG$41*_dat80[[#This Row],[DecDate]]+_dat80[[#This Row],[DecDate^2]]*$AG$42</f>
        <v>7.1091552046516986</v>
      </c>
      <c r="N226" s="2">
        <f>_dat80[[#This Row],[LOG(Expenditure 80)]]-_dat80[[#This Row],[Linear Trend LOG]]</f>
        <v>2.7331868591308428E-2</v>
      </c>
      <c r="O226" s="2">
        <f t="shared" si="3"/>
        <v>1.5076978832373911E-3</v>
      </c>
      <c r="P226" s="2">
        <f>_dat80[[#This Row],[Cycle 80]]+_dat80[[#This Row],[Linear Trend LOG]]</f>
        <v>7.1106590378821766</v>
      </c>
      <c r="Q226" s="2">
        <f>_dat80[[#This Row],[Detrend(Linear)]]-_dat80[[#This Row],[Cycle 80]]</f>
        <v>2.5824170708071036E-2</v>
      </c>
      <c r="R226" s="2">
        <f>AVERAGEIF(_dat80[Quarter],_dat80[[#This Row],[Quarter]],_dat80[High Frequency])</f>
        <v>3.3009459236017259E-2</v>
      </c>
      <c r="S226" s="2">
        <f>_dat80[[#This Row],[S0]]-AVERAGE($R$2:$R$5)</f>
        <v>3.2954640972867329E-2</v>
      </c>
    </row>
    <row r="227" spans="1:19" x14ac:dyDescent="0.35">
      <c r="A227">
        <v>2006</v>
      </c>
      <c r="B227" s="1">
        <f>DATE(_dat80[[#This Row],[Year]],_dat80[[#This Row],[Quarter]]*3-1,15)</f>
        <v>38852</v>
      </c>
      <c r="C227" s="2">
        <f>_dat80[[#This Row],[Year]]+(_dat80[[#This Row],[Quarter]]-1)/4+1/8</f>
        <v>2006.375</v>
      </c>
      <c r="D227" s="2">
        <f>_dat80[[#This Row],[DecDate]]^2</f>
        <v>4025540.640625</v>
      </c>
      <c r="E227">
        <v>2</v>
      </c>
      <c r="F227">
        <v>1211</v>
      </c>
      <c r="G227">
        <f>LN(_dat80[[#This Row],[Expenditure]])</f>
        <v>7.0992017435530919</v>
      </c>
      <c r="H227">
        <f>_dat80[[#This Row],[LOG(Expenditure 80)]]-G226</f>
        <v>-3.728146503715557E-2</v>
      </c>
      <c r="I227">
        <f>(1+(_dat80[[#This Row],[Expenditure]]-F226)/F226)^12-1</f>
        <v>-0.36069752541604516</v>
      </c>
      <c r="J227" s="2">
        <f>$W$17+$W$18*_dat80[[#This Row],[DecDate]]</f>
        <v>1225.7110593634352</v>
      </c>
      <c r="K227" s="2">
        <f>$W$40+$W$41*_dat80[[#This Row],[DecDate]]+_dat80[[#This Row],[DecDate^2]]*$W$42</f>
        <v>1226.1613229476352</v>
      </c>
      <c r="L227" s="2">
        <f>$AG$17+_dat80[[#This Row],[DecDate]]*$AG$18</f>
        <v>7.1109667141713162</v>
      </c>
      <c r="M227" s="2">
        <f>$AG$40+$AG$41*_dat80[[#This Row],[DecDate]]+_dat80[[#This Row],[DecDate^2]]*$AG$42</f>
        <v>7.1109781262635749</v>
      </c>
      <c r="N227" s="2">
        <f>_dat80[[#This Row],[LOG(Expenditure 80)]]-_dat80[[#This Row],[Linear Trend LOG]]</f>
        <v>-1.1764970618224346E-2</v>
      </c>
      <c r="O227" s="2">
        <f t="shared" si="3"/>
        <v>-7.4012033111458212E-3</v>
      </c>
      <c r="P227" s="2">
        <f>_dat80[[#This Row],[Cycle 80]]+_dat80[[#This Row],[Linear Trend LOG]]</f>
        <v>7.1035655108601707</v>
      </c>
      <c r="Q227" s="2">
        <f>_dat80[[#This Row],[Detrend(Linear)]]-_dat80[[#This Row],[Cycle 80]]</f>
        <v>-4.3637673070785251E-3</v>
      </c>
      <c r="R227" s="2">
        <f>AVERAGEIF(_dat80[Quarter],_dat80[[#This Row],[Quarter]],_dat80[High Frequency])</f>
        <v>-7.1142253495101353E-3</v>
      </c>
      <c r="S227" s="2">
        <f>_dat80[[#This Row],[S0]]-AVERAGE($R$2:$R$5)</f>
        <v>-7.1690436126600685E-3</v>
      </c>
    </row>
    <row r="228" spans="1:19" x14ac:dyDescent="0.35">
      <c r="A228">
        <v>2006</v>
      </c>
      <c r="B228" s="1">
        <f>DATE(_dat80[[#This Row],[Year]],_dat80[[#This Row],[Quarter]]*3-1,15)</f>
        <v>38944</v>
      </c>
      <c r="C228" s="2">
        <f>_dat80[[#This Row],[Year]]+(_dat80[[#This Row],[Quarter]]-1)/4+1/8</f>
        <v>2006.625</v>
      </c>
      <c r="D228" s="2">
        <f>_dat80[[#This Row],[DecDate]]^2</f>
        <v>4026543.890625</v>
      </c>
      <c r="E228">
        <v>3</v>
      </c>
      <c r="F228">
        <v>1238</v>
      </c>
      <c r="G228">
        <f>LN(_dat80[[#This Row],[Expenditure]])</f>
        <v>7.1212524532445416</v>
      </c>
      <c r="H228">
        <f>_dat80[[#This Row],[LOG(Expenditure 80)]]-G227</f>
        <v>2.2050709691449732E-2</v>
      </c>
      <c r="I228">
        <f>(1+(_dat80[[#This Row],[Expenditure]]-F227)/F227)^12-1</f>
        <v>0.30292080366242624</v>
      </c>
      <c r="J228" s="2">
        <f>$W$17+$W$18*_dat80[[#This Row],[DecDate]]</f>
        <v>1227.6352788480945</v>
      </c>
      <c r="K228" s="2">
        <f>$W$40+$W$41*_dat80[[#This Row],[DecDate]]+_dat80[[#This Row],[DecDate^2]]*$W$42</f>
        <v>1228.3869140743045</v>
      </c>
      <c r="L228" s="2">
        <f>$AG$17+_dat80[[#This Row],[DecDate]]*$AG$18</f>
        <v>7.1127820883436934</v>
      </c>
      <c r="M228" s="2">
        <f>$AG$40+$AG$41*_dat80[[#This Row],[DecDate]]+_dat80[[#This Row],[DecDate^2]]*$AG$42</f>
        <v>7.1128011388084573</v>
      </c>
      <c r="N228" s="2">
        <f>_dat80[[#This Row],[LOG(Expenditure 80)]]-_dat80[[#This Row],[Linear Trend LOG]]</f>
        <v>8.4703649008481818E-3</v>
      </c>
      <c r="O228" s="2">
        <f t="shared" si="3"/>
        <v>3.5224215463040666E-3</v>
      </c>
      <c r="P228" s="2">
        <f>_dat80[[#This Row],[Cycle 80]]+_dat80[[#This Row],[Linear Trend LOG]]</f>
        <v>7.1163045098899973</v>
      </c>
      <c r="Q228" s="2">
        <f>_dat80[[#This Row],[Detrend(Linear)]]-_dat80[[#This Row],[Cycle 80]]</f>
        <v>4.9479433545441152E-3</v>
      </c>
      <c r="R228" s="2">
        <f>AVERAGEIF(_dat80[Quarter],_dat80[[#This Row],[Quarter]],_dat80[High Frequency])</f>
        <v>3.946848336706609E-3</v>
      </c>
      <c r="S228" s="2">
        <f>_dat80[[#This Row],[S0]]-AVERAGE($R$2:$R$5)</f>
        <v>3.8920300735566758E-3</v>
      </c>
    </row>
    <row r="229" spans="1:19" x14ac:dyDescent="0.35">
      <c r="A229">
        <v>2006</v>
      </c>
      <c r="B229" s="1">
        <f>DATE(_dat80[[#This Row],[Year]],_dat80[[#This Row],[Quarter]]*3-1,15)</f>
        <v>39036</v>
      </c>
      <c r="C229" s="2">
        <f>_dat80[[#This Row],[Year]]+(_dat80[[#This Row],[Quarter]]-1)/4+1/8</f>
        <v>2006.875</v>
      </c>
      <c r="D229" s="2">
        <f>_dat80[[#This Row],[DecDate]]^2</f>
        <v>4027547.265625</v>
      </c>
      <c r="E229">
        <v>4</v>
      </c>
      <c r="F229">
        <v>1191</v>
      </c>
      <c r="G229">
        <f>LN(_dat80[[#This Row],[Expenditure]])</f>
        <v>7.0825485693552999</v>
      </c>
      <c r="H229">
        <f>_dat80[[#This Row],[LOG(Expenditure 80)]]-G228</f>
        <v>-3.870388388924173E-2</v>
      </c>
      <c r="I229">
        <f>(1+(_dat80[[#This Row],[Expenditure]]-F228)/F228)^12-1</f>
        <v>-0.37151719283426698</v>
      </c>
      <c r="J229" s="2">
        <f>$W$17+$W$18*_dat80[[#This Row],[DecDate]]</f>
        <v>1229.5594983327537</v>
      </c>
      <c r="K229" s="2">
        <f>$W$40+$W$41*_dat80[[#This Row],[DecDate]]+_dat80[[#This Row],[DecDate^2]]*$W$42</f>
        <v>1230.6160929586331</v>
      </c>
      <c r="L229" s="2">
        <f>$AG$17+_dat80[[#This Row],[DecDate]]*$AG$18</f>
        <v>7.1145974625160688</v>
      </c>
      <c r="M229" s="2">
        <f>$AG$40+$AG$41*_dat80[[#This Row],[DecDate]]+_dat80[[#This Row],[DecDate^2]]*$AG$42</f>
        <v>7.1146242422863484</v>
      </c>
      <c r="N229" s="2">
        <f>_dat80[[#This Row],[LOG(Expenditure 80)]]-_dat80[[#This Row],[Linear Trend LOG]]</f>
        <v>-3.2048893160768976E-2</v>
      </c>
      <c r="O229" s="2">
        <f t="shared" si="3"/>
        <v>-4.1044995219813533E-3</v>
      </c>
      <c r="P229" s="2">
        <f>_dat80[[#This Row],[Cycle 80]]+_dat80[[#This Row],[Linear Trend LOG]]</f>
        <v>7.1104929629940878</v>
      </c>
      <c r="Q229" s="2">
        <f>_dat80[[#This Row],[Detrend(Linear)]]-_dat80[[#This Row],[Cycle 80]]</f>
        <v>-2.7944393638787625E-2</v>
      </c>
      <c r="R229" s="2">
        <f>AVERAGEIF(_dat80[Quarter],_dat80[[#This Row],[Quarter]],_dat80[High Frequency])</f>
        <v>-2.9622809170614002E-2</v>
      </c>
      <c r="S229" s="2">
        <f>_dat80[[#This Row],[S0]]-AVERAGE($R$2:$R$5)</f>
        <v>-2.9677627433763936E-2</v>
      </c>
    </row>
    <row r="230" spans="1:19" x14ac:dyDescent="0.35">
      <c r="A230">
        <v>2007</v>
      </c>
      <c r="B230" s="1">
        <f>DATE(_dat80[[#This Row],[Year]],_dat80[[#This Row],[Quarter]]*3-1,15)</f>
        <v>39128</v>
      </c>
      <c r="C230" s="2">
        <f>_dat80[[#This Row],[Year]]+(_dat80[[#This Row],[Quarter]]-1)/4+1/8</f>
        <v>2007.125</v>
      </c>
      <c r="D230" s="2">
        <f>_dat80[[#This Row],[DecDate]]^2</f>
        <v>4028550.765625</v>
      </c>
      <c r="E230">
        <v>1</v>
      </c>
      <c r="F230">
        <v>1264</v>
      </c>
      <c r="G230">
        <f>LN(_dat80[[#This Row],[Expenditure]])</f>
        <v>7.1420365747068031</v>
      </c>
      <c r="H230">
        <f>_dat80[[#This Row],[LOG(Expenditure 80)]]-G229</f>
        <v>5.9488005351503226E-2</v>
      </c>
      <c r="I230">
        <f>(1+(_dat80[[#This Row],[Expenditure]]-F229)/F229)^12-1</f>
        <v>1.0418496009580172</v>
      </c>
      <c r="J230" s="2">
        <f>$W$17+$W$18*_dat80[[#This Row],[DecDate]]</f>
        <v>1231.483717817413</v>
      </c>
      <c r="K230" s="2">
        <f>$W$40+$W$41*_dat80[[#This Row],[DecDate]]+_dat80[[#This Row],[DecDate^2]]*$W$42</f>
        <v>1232.8488596005918</v>
      </c>
      <c r="L230" s="2">
        <f>$AG$17+_dat80[[#This Row],[DecDate]]*$AG$18</f>
        <v>7.116412836688446</v>
      </c>
      <c r="M230" s="2">
        <f>$AG$40+$AG$41*_dat80[[#This Row],[DecDate]]+_dat80[[#This Row],[DecDate^2]]*$AG$42</f>
        <v>7.1164474366972428</v>
      </c>
      <c r="N230" s="2">
        <f>_dat80[[#This Row],[LOG(Expenditure 80)]]-_dat80[[#This Row],[Linear Trend LOG]]</f>
        <v>2.5623738018357045E-2</v>
      </c>
      <c r="O230" s="2">
        <f t="shared" si="3"/>
        <v>7.3928792703217285E-4</v>
      </c>
      <c r="P230" s="2">
        <f>_dat80[[#This Row],[Cycle 80]]+_dat80[[#This Row],[Linear Trend LOG]]</f>
        <v>7.1171521246154779</v>
      </c>
      <c r="Q230" s="2">
        <f>_dat80[[#This Row],[Detrend(Linear)]]-_dat80[[#This Row],[Cycle 80]]</f>
        <v>2.4884450091324874E-2</v>
      </c>
      <c r="R230" s="2">
        <f>AVERAGEIF(_dat80[Quarter],_dat80[[#This Row],[Quarter]],_dat80[High Frequency])</f>
        <v>3.3009459236017259E-2</v>
      </c>
      <c r="S230" s="2">
        <f>_dat80[[#This Row],[S0]]-AVERAGE($R$2:$R$5)</f>
        <v>3.2954640972867329E-2</v>
      </c>
    </row>
    <row r="231" spans="1:19" x14ac:dyDescent="0.35">
      <c r="A231">
        <v>2007</v>
      </c>
      <c r="B231" s="1">
        <f>DATE(_dat80[[#This Row],[Year]],_dat80[[#This Row],[Quarter]]*3-1,15)</f>
        <v>39217</v>
      </c>
      <c r="C231" s="2">
        <f>_dat80[[#This Row],[Year]]+(_dat80[[#This Row],[Quarter]]-1)/4+1/8</f>
        <v>2007.375</v>
      </c>
      <c r="D231" s="2">
        <f>_dat80[[#This Row],[DecDate]]^2</f>
        <v>4029554.390625</v>
      </c>
      <c r="E231">
        <v>2</v>
      </c>
      <c r="F231">
        <v>1221</v>
      </c>
      <c r="G231">
        <f>LN(_dat80[[#This Row],[Expenditure]])</f>
        <v>7.1074254741107046</v>
      </c>
      <c r="H231">
        <f>_dat80[[#This Row],[LOG(Expenditure 80)]]-G230</f>
        <v>-3.461110059609851E-2</v>
      </c>
      <c r="I231">
        <f>(1+(_dat80[[#This Row],[Expenditure]]-F230)/F230)^12-1</f>
        <v>-0.3398797127463471</v>
      </c>
      <c r="J231" s="2">
        <f>$W$17+$W$18*_dat80[[#This Row],[DecDate]]</f>
        <v>1233.4079373020722</v>
      </c>
      <c r="K231" s="2">
        <f>$W$40+$W$41*_dat80[[#This Row],[DecDate]]+_dat80[[#This Row],[DecDate^2]]*$W$42</f>
        <v>1235.0852140001807</v>
      </c>
      <c r="L231" s="2">
        <f>$AG$17+_dat80[[#This Row],[DecDate]]*$AG$18</f>
        <v>7.1182282108608232</v>
      </c>
      <c r="M231" s="2">
        <f>$AG$40+$AG$41*_dat80[[#This Row],[DecDate]]+_dat80[[#This Row],[DecDate^2]]*$AG$42</f>
        <v>7.1182707220411459</v>
      </c>
      <c r="N231" s="2">
        <f>_dat80[[#This Row],[LOG(Expenditure 80)]]-_dat80[[#This Row],[Linear Trend LOG]]</f>
        <v>-1.0802736750118669E-2</v>
      </c>
      <c r="O231" s="2">
        <f t="shared" si="3"/>
        <v>-6.8118336993169496E-3</v>
      </c>
      <c r="P231" s="2">
        <f>_dat80[[#This Row],[Cycle 80]]+_dat80[[#This Row],[Linear Trend LOG]]</f>
        <v>7.1114163771615067</v>
      </c>
      <c r="Q231" s="2">
        <f>_dat80[[#This Row],[Detrend(Linear)]]-_dat80[[#This Row],[Cycle 80]]</f>
        <v>-3.9909030508017192E-3</v>
      </c>
      <c r="R231" s="2">
        <f>AVERAGEIF(_dat80[Quarter],_dat80[[#This Row],[Quarter]],_dat80[High Frequency])</f>
        <v>-7.1142253495101353E-3</v>
      </c>
      <c r="S231" s="2">
        <f>_dat80[[#This Row],[S0]]-AVERAGE($R$2:$R$5)</f>
        <v>-7.1690436126600685E-3</v>
      </c>
    </row>
    <row r="232" spans="1:19" x14ac:dyDescent="0.35">
      <c r="A232">
        <v>2007</v>
      </c>
      <c r="B232" s="1">
        <f>DATE(_dat80[[#This Row],[Year]],_dat80[[#This Row],[Quarter]]*3-1,15)</f>
        <v>39309</v>
      </c>
      <c r="C232" s="2">
        <f>_dat80[[#This Row],[Year]]+(_dat80[[#This Row],[Quarter]]-1)/4+1/8</f>
        <v>2007.625</v>
      </c>
      <c r="D232" s="2">
        <f>_dat80[[#This Row],[DecDate]]^2</f>
        <v>4030558.140625</v>
      </c>
      <c r="E232">
        <v>3</v>
      </c>
      <c r="F232">
        <v>1252</v>
      </c>
      <c r="G232">
        <f>LN(_dat80[[#This Row],[Expenditure]])</f>
        <v>7.1324975516600437</v>
      </c>
      <c r="H232">
        <f>_dat80[[#This Row],[LOG(Expenditure 80)]]-G231</f>
        <v>2.5072077549339156E-2</v>
      </c>
      <c r="I232">
        <f>(1+(_dat80[[#This Row],[Expenditure]]-F231)/F231)^12-1</f>
        <v>0.35102684681726881</v>
      </c>
      <c r="J232" s="2">
        <f>$W$17+$W$18*_dat80[[#This Row],[DecDate]]</f>
        <v>1235.3321567867333</v>
      </c>
      <c r="K232" s="2">
        <f>$W$40+$W$41*_dat80[[#This Row],[DecDate]]+_dat80[[#This Row],[DecDate^2]]*$W$42</f>
        <v>1237.3251561574289</v>
      </c>
      <c r="L232" s="2">
        <f>$AG$17+_dat80[[#This Row],[DecDate]]*$AG$18</f>
        <v>7.1200435850332005</v>
      </c>
      <c r="M232" s="2">
        <f>$AG$40+$AG$41*_dat80[[#This Row],[DecDate]]+_dat80[[#This Row],[DecDate^2]]*$AG$42</f>
        <v>7.1200940983180523</v>
      </c>
      <c r="N232" s="2">
        <f>_dat80[[#This Row],[LOG(Expenditure 80)]]-_dat80[[#This Row],[Linear Trend LOG]]</f>
        <v>1.2453966626843282E-2</v>
      </c>
      <c r="O232" s="2">
        <f t="shared" si="3"/>
        <v>5.0033697757514871E-3</v>
      </c>
      <c r="P232" s="2">
        <f>_dat80[[#This Row],[Cycle 80]]+_dat80[[#This Row],[Linear Trend LOG]]</f>
        <v>7.1250469548089521</v>
      </c>
      <c r="Q232" s="2">
        <f>_dat80[[#This Row],[Detrend(Linear)]]-_dat80[[#This Row],[Cycle 80]]</f>
        <v>7.4505968510917954E-3</v>
      </c>
      <c r="R232" s="2">
        <f>AVERAGEIF(_dat80[Quarter],_dat80[[#This Row],[Quarter]],_dat80[High Frequency])</f>
        <v>3.946848336706609E-3</v>
      </c>
      <c r="S232" s="2">
        <f>_dat80[[#This Row],[S0]]-AVERAGE($R$2:$R$5)</f>
        <v>3.8920300735566758E-3</v>
      </c>
    </row>
    <row r="233" spans="1:19" x14ac:dyDescent="0.35">
      <c r="A233">
        <v>2007</v>
      </c>
      <c r="B233" s="1">
        <f>DATE(_dat80[[#This Row],[Year]],_dat80[[#This Row],[Quarter]]*3-1,15)</f>
        <v>39401</v>
      </c>
      <c r="C233" s="2">
        <f>_dat80[[#This Row],[Year]]+(_dat80[[#This Row],[Quarter]]-1)/4+1/8</f>
        <v>2007.875</v>
      </c>
      <c r="D233" s="2">
        <f>_dat80[[#This Row],[DecDate]]^2</f>
        <v>4031562.015625</v>
      </c>
      <c r="E233">
        <v>4</v>
      </c>
      <c r="F233">
        <v>1203</v>
      </c>
      <c r="G233">
        <f>LN(_dat80[[#This Row],[Expenditure]])</f>
        <v>7.0925737159746784</v>
      </c>
      <c r="H233">
        <f>_dat80[[#This Row],[LOG(Expenditure 80)]]-G232</f>
        <v>-3.9923835685365283E-2</v>
      </c>
      <c r="I233">
        <f>(1+(_dat80[[#This Row],[Expenditure]]-F232)/F232)^12-1</f>
        <v>-0.38065079911114708</v>
      </c>
      <c r="J233" s="2">
        <f>$W$17+$W$18*_dat80[[#This Row],[DecDate]]</f>
        <v>1237.2563762713926</v>
      </c>
      <c r="K233" s="2">
        <f>$W$40+$W$41*_dat80[[#This Row],[DecDate]]+_dat80[[#This Row],[DecDate^2]]*$W$42</f>
        <v>1239.5686860723217</v>
      </c>
      <c r="L233" s="2">
        <f>$AG$17+_dat80[[#This Row],[DecDate]]*$AG$18</f>
        <v>7.1218589592055759</v>
      </c>
      <c r="M233" s="2">
        <f>$AG$40+$AG$41*_dat80[[#This Row],[DecDate]]+_dat80[[#This Row],[DecDate^2]]*$AG$42</f>
        <v>7.1219175655279656</v>
      </c>
      <c r="N233" s="2">
        <f>_dat80[[#This Row],[LOG(Expenditure 80)]]-_dat80[[#This Row],[Linear Trend LOG]]</f>
        <v>-2.9285243230897429E-2</v>
      </c>
      <c r="O233" s="2">
        <f t="shared" si="3"/>
        <v>-1.9404905192930144E-3</v>
      </c>
      <c r="P233" s="2">
        <f>_dat80[[#This Row],[Cycle 80]]+_dat80[[#This Row],[Linear Trend LOG]]</f>
        <v>7.1199184686862829</v>
      </c>
      <c r="Q233" s="2">
        <f>_dat80[[#This Row],[Detrend(Linear)]]-_dat80[[#This Row],[Cycle 80]]</f>
        <v>-2.7344752711604414E-2</v>
      </c>
      <c r="R233" s="2">
        <f>AVERAGEIF(_dat80[Quarter],_dat80[[#This Row],[Quarter]],_dat80[High Frequency])</f>
        <v>-2.9622809170614002E-2</v>
      </c>
      <c r="S233" s="2">
        <f>_dat80[[#This Row],[S0]]-AVERAGE($R$2:$R$5)</f>
        <v>-2.9677627433763936E-2</v>
      </c>
    </row>
    <row r="234" spans="1:19" x14ac:dyDescent="0.35">
      <c r="A234">
        <v>2008</v>
      </c>
      <c r="B234" s="1">
        <f>DATE(_dat80[[#This Row],[Year]],_dat80[[#This Row],[Quarter]]*3-1,15)</f>
        <v>39493</v>
      </c>
      <c r="C234" s="2">
        <f>_dat80[[#This Row],[Year]]+(_dat80[[#This Row],[Quarter]]-1)/4+1/8</f>
        <v>2008.125</v>
      </c>
      <c r="D234" s="2">
        <f>_dat80[[#This Row],[DecDate]]^2</f>
        <v>4032566.015625</v>
      </c>
      <c r="E234">
        <v>1</v>
      </c>
      <c r="F234">
        <v>1275</v>
      </c>
      <c r="G234">
        <f>LN(_dat80[[#This Row],[Expenditure]])</f>
        <v>7.1507014575925263</v>
      </c>
      <c r="H234">
        <f>_dat80[[#This Row],[LOG(Expenditure 80)]]-G233</f>
        <v>5.8127741617847839E-2</v>
      </c>
      <c r="I234">
        <f>(1+(_dat80[[#This Row],[Expenditure]]-F233)/F233)^12-1</f>
        <v>1.0087907003882592</v>
      </c>
      <c r="J234" s="2">
        <f>$W$17+$W$18*_dat80[[#This Row],[DecDate]]</f>
        <v>1239.1805957560518</v>
      </c>
      <c r="K234" s="2">
        <f>$W$40+$W$41*_dat80[[#This Row],[DecDate]]+_dat80[[#This Row],[DecDate^2]]*$W$42</f>
        <v>1241.8158037448593</v>
      </c>
      <c r="L234" s="2">
        <f>$AG$17+_dat80[[#This Row],[DecDate]]*$AG$18</f>
        <v>7.1236743333779531</v>
      </c>
      <c r="M234" s="2">
        <f>$AG$40+$AG$41*_dat80[[#This Row],[DecDate]]+_dat80[[#This Row],[DecDate^2]]*$AG$42</f>
        <v>7.1237411236708859</v>
      </c>
      <c r="N234" s="2">
        <f>_dat80[[#This Row],[LOG(Expenditure 80)]]-_dat80[[#This Row],[Linear Trend LOG]]</f>
        <v>2.7027124214573206E-2</v>
      </c>
      <c r="O234" s="2">
        <f t="shared" si="3"/>
        <v>2.8496491064212036E-3</v>
      </c>
      <c r="P234" s="2">
        <f>_dat80[[#This Row],[Cycle 80]]+_dat80[[#This Row],[Linear Trend LOG]]</f>
        <v>7.1265239824843745</v>
      </c>
      <c r="Q234" s="2">
        <f>_dat80[[#This Row],[Detrend(Linear)]]-_dat80[[#This Row],[Cycle 80]]</f>
        <v>2.4177475108152002E-2</v>
      </c>
      <c r="R234" s="2">
        <f>AVERAGEIF(_dat80[Quarter],_dat80[[#This Row],[Quarter]],_dat80[High Frequency])</f>
        <v>3.3009459236017259E-2</v>
      </c>
      <c r="S234" s="2">
        <f>_dat80[[#This Row],[S0]]-AVERAGE($R$2:$R$5)</f>
        <v>3.2954640972867329E-2</v>
      </c>
    </row>
    <row r="235" spans="1:19" x14ac:dyDescent="0.35">
      <c r="A235">
        <v>2008</v>
      </c>
      <c r="B235" s="1">
        <f>DATE(_dat80[[#This Row],[Year]],_dat80[[#This Row],[Quarter]]*3-1,15)</f>
        <v>39583</v>
      </c>
      <c r="C235" s="2">
        <f>_dat80[[#This Row],[Year]]+(_dat80[[#This Row],[Quarter]]-1)/4+1/8</f>
        <v>2008.375</v>
      </c>
      <c r="D235" s="2">
        <f>_dat80[[#This Row],[DecDate]]^2</f>
        <v>4033570.140625</v>
      </c>
      <c r="E235">
        <v>2</v>
      </c>
      <c r="F235">
        <v>1232</v>
      </c>
      <c r="G235">
        <f>LN(_dat80[[#This Row],[Expenditure]])</f>
        <v>7.1163941440934648</v>
      </c>
      <c r="H235">
        <f>_dat80[[#This Row],[LOG(Expenditure 80)]]-G234</f>
        <v>-3.4307313499061465E-2</v>
      </c>
      <c r="I235">
        <f>(1+(_dat80[[#This Row],[Expenditure]]-F234)/F234)^12-1</f>
        <v>-0.33746888884390136</v>
      </c>
      <c r="J235" s="2">
        <f>$W$17+$W$18*_dat80[[#This Row],[DecDate]]</f>
        <v>1241.1048152407111</v>
      </c>
      <c r="K235" s="2">
        <f>$W$40+$W$41*_dat80[[#This Row],[DecDate]]+_dat80[[#This Row],[DecDate^2]]*$W$42</f>
        <v>1244.0665091750416</v>
      </c>
      <c r="L235" s="2">
        <f>$AG$17+_dat80[[#This Row],[DecDate]]*$AG$18</f>
        <v>7.1254897075503303</v>
      </c>
      <c r="M235" s="2">
        <f>$AG$40+$AG$41*_dat80[[#This Row],[DecDate]]+_dat80[[#This Row],[DecDate^2]]*$AG$42</f>
        <v>7.1255647727468112</v>
      </c>
      <c r="N235" s="2">
        <f>_dat80[[#This Row],[LOG(Expenditure 80)]]-_dat80[[#This Row],[Linear Trend LOG]]</f>
        <v>-9.0955634568654631E-3</v>
      </c>
      <c r="O235" s="2">
        <f t="shared" si="3"/>
        <v>-6.4523599405378104E-3</v>
      </c>
      <c r="P235" s="2">
        <f>_dat80[[#This Row],[Cycle 80]]+_dat80[[#This Row],[Linear Trend LOG]]</f>
        <v>7.1190373476097921</v>
      </c>
      <c r="Q235" s="2">
        <f>_dat80[[#This Row],[Detrend(Linear)]]-_dat80[[#This Row],[Cycle 80]]</f>
        <v>-2.6432035163276527E-3</v>
      </c>
      <c r="R235" s="2">
        <f>AVERAGEIF(_dat80[Quarter],_dat80[[#This Row],[Quarter]],_dat80[High Frequency])</f>
        <v>-7.1142253495101353E-3</v>
      </c>
      <c r="S235" s="2">
        <f>_dat80[[#This Row],[S0]]-AVERAGE($R$2:$R$5)</f>
        <v>-7.1690436126600685E-3</v>
      </c>
    </row>
    <row r="236" spans="1:19" x14ac:dyDescent="0.35">
      <c r="A236">
        <v>2008</v>
      </c>
      <c r="B236" s="1">
        <f>DATE(_dat80[[#This Row],[Year]],_dat80[[#This Row],[Quarter]]*3-1,15)</f>
        <v>39675</v>
      </c>
      <c r="C236" s="2">
        <f>_dat80[[#This Row],[Year]]+(_dat80[[#This Row],[Quarter]]-1)/4+1/8</f>
        <v>2008.625</v>
      </c>
      <c r="D236" s="2">
        <f>_dat80[[#This Row],[DecDate]]^2</f>
        <v>4034574.390625</v>
      </c>
      <c r="E236">
        <v>3</v>
      </c>
      <c r="F236">
        <v>1262</v>
      </c>
      <c r="G236">
        <f>LN(_dat80[[#This Row],[Expenditure]])</f>
        <v>7.1404530431011581</v>
      </c>
      <c r="H236">
        <f>_dat80[[#This Row],[LOG(Expenditure 80)]]-G235</f>
        <v>2.4058899007693313E-2</v>
      </c>
      <c r="I236">
        <f>(1+(_dat80[[#This Row],[Expenditure]]-F235)/F235)^12-1</f>
        <v>0.3347003211213202</v>
      </c>
      <c r="J236" s="2">
        <f>$W$17+$W$18*_dat80[[#This Row],[DecDate]]</f>
        <v>1243.0290347253704</v>
      </c>
      <c r="K236" s="2">
        <f>$W$40+$W$41*_dat80[[#This Row],[DecDate]]+_dat80[[#This Row],[DecDate^2]]*$W$42</f>
        <v>1246.3208023628395</v>
      </c>
      <c r="L236" s="2">
        <f>$AG$17+_dat80[[#This Row],[DecDate]]*$AG$18</f>
        <v>7.1273050817227057</v>
      </c>
      <c r="M236" s="2">
        <f>$AG$40+$AG$41*_dat80[[#This Row],[DecDate]]+_dat80[[#This Row],[DecDate^2]]*$AG$42</f>
        <v>7.1273885127557435</v>
      </c>
      <c r="N236" s="2">
        <f>_dat80[[#This Row],[LOG(Expenditure 80)]]-_dat80[[#This Row],[Linear Trend LOG]]</f>
        <v>1.3147961378452422E-2</v>
      </c>
      <c r="O236" s="2">
        <f t="shared" si="3"/>
        <v>4.6087956152769394E-3</v>
      </c>
      <c r="P236" s="2">
        <f>_dat80[[#This Row],[Cycle 80]]+_dat80[[#This Row],[Linear Trend LOG]]</f>
        <v>7.1319138773379827</v>
      </c>
      <c r="Q236" s="2">
        <f>_dat80[[#This Row],[Detrend(Linear)]]-_dat80[[#This Row],[Cycle 80]]</f>
        <v>8.5391657631754825E-3</v>
      </c>
      <c r="R236" s="2">
        <f>AVERAGEIF(_dat80[Quarter],_dat80[[#This Row],[Quarter]],_dat80[High Frequency])</f>
        <v>3.946848336706609E-3</v>
      </c>
      <c r="S236" s="2">
        <f>_dat80[[#This Row],[S0]]-AVERAGE($R$2:$R$5)</f>
        <v>3.8920300735566758E-3</v>
      </c>
    </row>
    <row r="237" spans="1:19" x14ac:dyDescent="0.35">
      <c r="A237">
        <v>2008</v>
      </c>
      <c r="B237" s="1">
        <f>DATE(_dat80[[#This Row],[Year]],_dat80[[#This Row],[Quarter]]*3-1,15)</f>
        <v>39767</v>
      </c>
      <c r="C237" s="2">
        <f>_dat80[[#This Row],[Year]]+(_dat80[[#This Row],[Quarter]]-1)/4+1/8</f>
        <v>2008.875</v>
      </c>
      <c r="D237" s="2">
        <f>_dat80[[#This Row],[DecDate]]^2</f>
        <v>4035578.765625</v>
      </c>
      <c r="E237">
        <v>4</v>
      </c>
      <c r="F237">
        <v>1206</v>
      </c>
      <c r="G237">
        <f>LN(_dat80[[#This Row],[Expenditure]])</f>
        <v>7.0950643772871311</v>
      </c>
      <c r="H237">
        <f>_dat80[[#This Row],[LOG(Expenditure 80)]]-G236</f>
        <v>-4.5388665814027007E-2</v>
      </c>
      <c r="I237">
        <f>(1+(_dat80[[#This Row],[Expenditure]]-F236)/F236)^12-1</f>
        <v>-0.41996335115163386</v>
      </c>
      <c r="J237" s="2">
        <f>$W$17+$W$18*_dat80[[#This Row],[DecDate]]</f>
        <v>1244.9532542100296</v>
      </c>
      <c r="K237" s="2">
        <f>$W$40+$W$41*_dat80[[#This Row],[DecDate]]+_dat80[[#This Row],[DecDate^2]]*$W$42</f>
        <v>1248.5786833083112</v>
      </c>
      <c r="L237" s="2">
        <f>$AG$17+_dat80[[#This Row],[DecDate]]*$AG$18</f>
        <v>7.1291204558950829</v>
      </c>
      <c r="M237" s="2">
        <f>$AG$40+$AG$41*_dat80[[#This Row],[DecDate]]+_dat80[[#This Row],[DecDate^2]]*$AG$42</f>
        <v>7.1292123436976809</v>
      </c>
      <c r="N237" s="2">
        <f>_dat80[[#This Row],[LOG(Expenditure 80)]]-_dat80[[#This Row],[Linear Trend LOG]]</f>
        <v>-3.405607860795179E-2</v>
      </c>
      <c r="O237" s="2">
        <f t="shared" si="3"/>
        <v>-1.6476809395975067E-3</v>
      </c>
      <c r="P237" s="2">
        <f>_dat80[[#This Row],[Cycle 80]]+_dat80[[#This Row],[Linear Trend LOG]]</f>
        <v>7.1274727749554856</v>
      </c>
      <c r="Q237" s="2">
        <f>_dat80[[#This Row],[Detrend(Linear)]]-_dat80[[#This Row],[Cycle 80]]</f>
        <v>-3.240839766835428E-2</v>
      </c>
      <c r="R237" s="2">
        <f>AVERAGEIF(_dat80[Quarter],_dat80[[#This Row],[Quarter]],_dat80[High Frequency])</f>
        <v>-2.9622809170614002E-2</v>
      </c>
      <c r="S237" s="2">
        <f>_dat80[[#This Row],[S0]]-AVERAGE($R$2:$R$5)</f>
        <v>-2.9677627433763936E-2</v>
      </c>
    </row>
    <row r="238" spans="1:19" x14ac:dyDescent="0.35">
      <c r="A238">
        <v>2009</v>
      </c>
      <c r="B238" s="1">
        <f>DATE(_dat80[[#This Row],[Year]],_dat80[[#This Row],[Quarter]]*3-1,15)</f>
        <v>39859</v>
      </c>
      <c r="C238" s="2">
        <f>_dat80[[#This Row],[Year]]+(_dat80[[#This Row],[Quarter]]-1)/4+1/8</f>
        <v>2009.125</v>
      </c>
      <c r="D238" s="2">
        <f>_dat80[[#This Row],[DecDate]]^2</f>
        <v>4036583.265625</v>
      </c>
      <c r="E238">
        <v>1</v>
      </c>
      <c r="F238">
        <v>1283</v>
      </c>
      <c r="G238">
        <f>LN(_dat80[[#This Row],[Expenditure]])</f>
        <v>7.1569563646156364</v>
      </c>
      <c r="H238">
        <f>_dat80[[#This Row],[LOG(Expenditure 80)]]-G237</f>
        <v>6.1891987328505316E-2</v>
      </c>
      <c r="I238">
        <f>(1+(_dat80[[#This Row],[Expenditure]]-F237)/F237)^12-1</f>
        <v>1.1016102738078368</v>
      </c>
      <c r="J238" s="2">
        <f>$W$17+$W$18*_dat80[[#This Row],[DecDate]]</f>
        <v>1246.8774736946889</v>
      </c>
      <c r="K238" s="2">
        <f>$W$40+$W$41*_dat80[[#This Row],[DecDate]]+_dat80[[#This Row],[DecDate^2]]*$W$42</f>
        <v>1250.840152011413</v>
      </c>
      <c r="L238" s="2">
        <f>$AG$17+_dat80[[#This Row],[DecDate]]*$AG$18</f>
        <v>7.1309358300674601</v>
      </c>
      <c r="M238" s="2">
        <f>$AG$40+$AG$41*_dat80[[#This Row],[DecDate]]+_dat80[[#This Row],[DecDate^2]]*$AG$42</f>
        <v>7.1310362655726234</v>
      </c>
      <c r="N238" s="2">
        <f>_dat80[[#This Row],[LOG(Expenditure 80)]]-_dat80[[#This Row],[Linear Trend LOG]]</f>
        <v>2.6020534548176322E-2</v>
      </c>
      <c r="O238" s="2">
        <f t="shared" si="3"/>
        <v>3.0844357808144096E-3</v>
      </c>
      <c r="P238" s="2">
        <f>_dat80[[#This Row],[Cycle 80]]+_dat80[[#This Row],[Linear Trend LOG]]</f>
        <v>7.1340202658482745</v>
      </c>
      <c r="Q238" s="2">
        <f>_dat80[[#This Row],[Detrend(Linear)]]-_dat80[[#This Row],[Cycle 80]]</f>
        <v>2.2936098767361912E-2</v>
      </c>
      <c r="R238" s="2">
        <f>AVERAGEIF(_dat80[Quarter],_dat80[[#This Row],[Quarter]],_dat80[High Frequency])</f>
        <v>3.3009459236017259E-2</v>
      </c>
      <c r="S238" s="2">
        <f>_dat80[[#This Row],[S0]]-AVERAGE($R$2:$R$5)</f>
        <v>3.2954640972867329E-2</v>
      </c>
    </row>
    <row r="239" spans="1:19" x14ac:dyDescent="0.35">
      <c r="A239">
        <v>2009</v>
      </c>
      <c r="B239" s="1">
        <f>DATE(_dat80[[#This Row],[Year]],_dat80[[#This Row],[Quarter]]*3-1,15)</f>
        <v>39948</v>
      </c>
      <c r="C239" s="2">
        <f>_dat80[[#This Row],[Year]]+(_dat80[[#This Row],[Quarter]]-1)/4+1/8</f>
        <v>2009.375</v>
      </c>
      <c r="D239" s="2">
        <f>_dat80[[#This Row],[DecDate]]^2</f>
        <v>4037587.890625</v>
      </c>
      <c r="E239">
        <v>2</v>
      </c>
      <c r="F239">
        <v>1247</v>
      </c>
      <c r="G239">
        <f>LN(_dat80[[#This Row],[Expenditure]])</f>
        <v>7.1284959456800365</v>
      </c>
      <c r="H239">
        <f>_dat80[[#This Row],[LOG(Expenditure 80)]]-G238</f>
        <v>-2.8460418935599918E-2</v>
      </c>
      <c r="I239">
        <f>(1+(_dat80[[#This Row],[Expenditure]]-F238)/F238)^12-1</f>
        <v>-0.28931431909472116</v>
      </c>
      <c r="J239" s="2">
        <f>$W$17+$W$18*_dat80[[#This Row],[DecDate]]</f>
        <v>1248.8016931793481</v>
      </c>
      <c r="K239" s="2">
        <f>$W$40+$W$41*_dat80[[#This Row],[DecDate]]+_dat80[[#This Row],[DecDate^2]]*$W$42</f>
        <v>1253.1052084721596</v>
      </c>
      <c r="L239" s="2">
        <f>$AG$17+_dat80[[#This Row],[DecDate]]*$AG$18</f>
        <v>7.1327512042398356</v>
      </c>
      <c r="M239" s="2">
        <f>$AG$40+$AG$41*_dat80[[#This Row],[DecDate]]+_dat80[[#This Row],[DecDate^2]]*$AG$42</f>
        <v>7.1328602783805746</v>
      </c>
      <c r="N239" s="2">
        <f>_dat80[[#This Row],[LOG(Expenditure 80)]]-_dat80[[#This Row],[Linear Trend LOG]]</f>
        <v>-4.2552585597990245E-3</v>
      </c>
      <c r="O239" s="2">
        <f t="shared" si="3"/>
        <v>-4.6823224160286612E-3</v>
      </c>
      <c r="P239" s="2">
        <f>_dat80[[#This Row],[Cycle 80]]+_dat80[[#This Row],[Linear Trend LOG]]</f>
        <v>7.1280688818238067</v>
      </c>
      <c r="Q239" s="2">
        <f>_dat80[[#This Row],[Detrend(Linear)]]-_dat80[[#This Row],[Cycle 80]]</f>
        <v>4.2706385622963677E-4</v>
      </c>
      <c r="R239" s="2">
        <f>AVERAGEIF(_dat80[Quarter],_dat80[[#This Row],[Quarter]],_dat80[High Frequency])</f>
        <v>-7.1142253495101353E-3</v>
      </c>
      <c r="S239" s="2">
        <f>_dat80[[#This Row],[S0]]-AVERAGE($R$2:$R$5)</f>
        <v>-7.1690436126600685E-3</v>
      </c>
    </row>
    <row r="240" spans="1:19" x14ac:dyDescent="0.35">
      <c r="A240">
        <v>2009</v>
      </c>
      <c r="B240" s="1">
        <f>DATE(_dat80[[#This Row],[Year]],_dat80[[#This Row],[Quarter]]*3-1,15)</f>
        <v>40040</v>
      </c>
      <c r="C240" s="2">
        <f>_dat80[[#This Row],[Year]]+(_dat80[[#This Row],[Quarter]]-1)/4+1/8</f>
        <v>2009.625</v>
      </c>
      <c r="D240" s="2">
        <f>_dat80[[#This Row],[DecDate]]^2</f>
        <v>4038592.640625</v>
      </c>
      <c r="E240">
        <v>3</v>
      </c>
      <c r="F240">
        <v>1273</v>
      </c>
      <c r="G240">
        <f>LN(_dat80[[#This Row],[Expenditure]])</f>
        <v>7.1491315985574069</v>
      </c>
      <c r="H240">
        <f>_dat80[[#This Row],[LOG(Expenditure 80)]]-G239</f>
        <v>2.0635652877370347E-2</v>
      </c>
      <c r="I240">
        <f>(1+(_dat80[[#This Row],[Expenditure]]-F239)/F239)^12-1</f>
        <v>0.28098310578873842</v>
      </c>
      <c r="J240" s="2">
        <f>$W$17+$W$18*_dat80[[#This Row],[DecDate]]</f>
        <v>1250.7259126640092</v>
      </c>
      <c r="K240" s="2">
        <f>$W$40+$W$41*_dat80[[#This Row],[DecDate]]+_dat80[[#This Row],[DecDate^2]]*$W$42</f>
        <v>1255.3738526905363</v>
      </c>
      <c r="L240" s="2">
        <f>$AG$17+_dat80[[#This Row],[DecDate]]*$AG$18</f>
        <v>7.1345665784122128</v>
      </c>
      <c r="M240" s="2">
        <f>$AG$40+$AG$41*_dat80[[#This Row],[DecDate]]+_dat80[[#This Row],[DecDate^2]]*$AG$42</f>
        <v>7.13468438212153</v>
      </c>
      <c r="N240" s="2">
        <f>_dat80[[#This Row],[LOG(Expenditure 80)]]-_dat80[[#This Row],[Linear Trend LOG]]</f>
        <v>1.4565020145194119E-2</v>
      </c>
      <c r="O240" s="2">
        <f t="shared" si="3"/>
        <v>8.3594312882881994E-3</v>
      </c>
      <c r="P240" s="2">
        <f>_dat80[[#This Row],[Cycle 80]]+_dat80[[#This Row],[Linear Trend LOG]]</f>
        <v>7.142926009700501</v>
      </c>
      <c r="Q240" s="2">
        <f>_dat80[[#This Row],[Detrend(Linear)]]-_dat80[[#This Row],[Cycle 80]]</f>
        <v>6.2055888569059192E-3</v>
      </c>
      <c r="R240" s="2">
        <f>AVERAGEIF(_dat80[Quarter],_dat80[[#This Row],[Quarter]],_dat80[High Frequency])</f>
        <v>3.946848336706609E-3</v>
      </c>
      <c r="S240" s="2">
        <f>_dat80[[#This Row],[S0]]-AVERAGE($R$2:$R$5)</f>
        <v>3.8920300735566758E-3</v>
      </c>
    </row>
    <row r="241" spans="1:19" x14ac:dyDescent="0.35">
      <c r="A241">
        <v>2009</v>
      </c>
      <c r="B241" s="1">
        <f>DATE(_dat80[[#This Row],[Year]],_dat80[[#This Row],[Quarter]]*3-1,15)</f>
        <v>40132</v>
      </c>
      <c r="C241" s="2">
        <f>_dat80[[#This Row],[Year]]+(_dat80[[#This Row],[Quarter]]-1)/4+1/8</f>
        <v>2009.875</v>
      </c>
      <c r="D241" s="2">
        <f>_dat80[[#This Row],[DecDate]]^2</f>
        <v>4039597.515625</v>
      </c>
      <c r="E241">
        <v>4</v>
      </c>
      <c r="F241">
        <v>1225</v>
      </c>
      <c r="G241">
        <f>LN(_dat80[[#This Row],[Expenditure]])</f>
        <v>7.110696122978827</v>
      </c>
      <c r="H241">
        <f>_dat80[[#This Row],[LOG(Expenditure 80)]]-G240</f>
        <v>-3.8435475578579847E-2</v>
      </c>
      <c r="I241">
        <f>(1+(_dat80[[#This Row],[Expenditure]]-F240)/F240)^12-1</f>
        <v>-0.36948964922716676</v>
      </c>
      <c r="J241" s="2">
        <f>$W$17+$W$18*_dat80[[#This Row],[DecDate]]</f>
        <v>1252.6501321486685</v>
      </c>
      <c r="K241" s="2">
        <f>$W$40+$W$41*_dat80[[#This Row],[DecDate]]+_dat80[[#This Row],[DecDate^2]]*$W$42</f>
        <v>1257.6460846665723</v>
      </c>
      <c r="L241" s="2">
        <f>$AG$17+_dat80[[#This Row],[DecDate]]*$AG$18</f>
        <v>7.13638195258459</v>
      </c>
      <c r="M241" s="2">
        <f>$AG$40+$AG$41*_dat80[[#This Row],[DecDate]]+_dat80[[#This Row],[DecDate^2]]*$AG$42</f>
        <v>7.1365085767954923</v>
      </c>
      <c r="N241" s="2">
        <f>_dat80[[#This Row],[LOG(Expenditure 80)]]-_dat80[[#This Row],[Linear Trend LOG]]</f>
        <v>-2.5685829605762933E-2</v>
      </c>
      <c r="O241" s="2">
        <f t="shared" si="3"/>
        <v>1.8119751719980926E-3</v>
      </c>
      <c r="P241" s="2">
        <f>_dat80[[#This Row],[Cycle 80]]+_dat80[[#This Row],[Linear Trend LOG]]</f>
        <v>7.1381939277565882</v>
      </c>
      <c r="Q241" s="2">
        <f>_dat80[[#This Row],[Detrend(Linear)]]-_dat80[[#This Row],[Cycle 80]]</f>
        <v>-2.7497804777761026E-2</v>
      </c>
      <c r="R241" s="2">
        <f>AVERAGEIF(_dat80[Quarter],_dat80[[#This Row],[Quarter]],_dat80[High Frequency])</f>
        <v>-2.9622809170614002E-2</v>
      </c>
      <c r="S241" s="2">
        <f>_dat80[[#This Row],[S0]]-AVERAGE($R$2:$R$5)</f>
        <v>-2.9677627433763936E-2</v>
      </c>
    </row>
    <row r="242" spans="1:19" x14ac:dyDescent="0.35">
      <c r="A242">
        <v>2010</v>
      </c>
      <c r="B242" s="1">
        <f>DATE(_dat80[[#This Row],[Year]],_dat80[[#This Row],[Quarter]]*3-1,15)</f>
        <v>40224</v>
      </c>
      <c r="C242" s="2">
        <f>_dat80[[#This Row],[Year]]+(_dat80[[#This Row],[Quarter]]-1)/4+1/8</f>
        <v>2010.125</v>
      </c>
      <c r="D242" s="2">
        <f>_dat80[[#This Row],[DecDate]]^2</f>
        <v>4040602.515625</v>
      </c>
      <c r="E242">
        <v>1</v>
      </c>
      <c r="F242">
        <v>1299</v>
      </c>
      <c r="G242">
        <f>LN(_dat80[[#This Row],[Expenditure]])</f>
        <v>7.1693500166705997</v>
      </c>
      <c r="H242">
        <f>_dat80[[#This Row],[LOG(Expenditure 80)]]-G241</f>
        <v>5.8653893691772652E-2</v>
      </c>
      <c r="I242">
        <f>(1+(_dat80[[#This Row],[Expenditure]]-F241)/F241)^12-1</f>
        <v>1.0215139771088326</v>
      </c>
      <c r="J242" s="2">
        <f>$W$17+$W$18*_dat80[[#This Row],[DecDate]]</f>
        <v>1254.5743516333278</v>
      </c>
      <c r="K242" s="2">
        <f>$W$40+$W$41*_dat80[[#This Row],[DecDate]]+_dat80[[#This Row],[DecDate^2]]*$W$42</f>
        <v>1259.921904400253</v>
      </c>
      <c r="L242" s="2">
        <f>$AG$17+_dat80[[#This Row],[DecDate]]*$AG$18</f>
        <v>7.1381973267569672</v>
      </c>
      <c r="M242" s="2">
        <f>$AG$40+$AG$41*_dat80[[#This Row],[DecDate]]+_dat80[[#This Row],[DecDate^2]]*$AG$42</f>
        <v>7.1383328624024598</v>
      </c>
      <c r="N242" s="2">
        <f>_dat80[[#This Row],[LOG(Expenditure 80)]]-_dat80[[#This Row],[Linear Trend LOG]]</f>
        <v>3.1152689913632514E-2</v>
      </c>
      <c r="O242" s="2">
        <f t="shared" si="3"/>
        <v>3.1788479278416657E-3</v>
      </c>
      <c r="P242" s="2">
        <f>_dat80[[#This Row],[Cycle 80]]+_dat80[[#This Row],[Linear Trend LOG]]</f>
        <v>7.141376174684809</v>
      </c>
      <c r="Q242" s="2">
        <f>_dat80[[#This Row],[Detrend(Linear)]]-_dat80[[#This Row],[Cycle 80]]</f>
        <v>2.7973841985790848E-2</v>
      </c>
      <c r="R242" s="2">
        <f>AVERAGEIF(_dat80[Quarter],_dat80[[#This Row],[Quarter]],_dat80[High Frequency])</f>
        <v>3.3009459236017259E-2</v>
      </c>
      <c r="S242" s="2">
        <f>_dat80[[#This Row],[S0]]-AVERAGE($R$2:$R$5)</f>
        <v>3.2954640972867329E-2</v>
      </c>
    </row>
    <row r="243" spans="1:19" x14ac:dyDescent="0.35">
      <c r="A243">
        <v>2010</v>
      </c>
      <c r="B243" s="1">
        <f>DATE(_dat80[[#This Row],[Year]],_dat80[[#This Row],[Quarter]]*3-1,15)</f>
        <v>40313</v>
      </c>
      <c r="C243" s="2">
        <f>_dat80[[#This Row],[Year]]+(_dat80[[#This Row],[Quarter]]-1)/4+1/8</f>
        <v>2010.375</v>
      </c>
      <c r="D243" s="2">
        <f>_dat80[[#This Row],[DecDate]]^2</f>
        <v>4041607.640625</v>
      </c>
      <c r="E243">
        <v>2</v>
      </c>
      <c r="F243">
        <v>1253</v>
      </c>
      <c r="G243">
        <f>LN(_dat80[[#This Row],[Expenditure]])</f>
        <v>7.1332959548960684</v>
      </c>
      <c r="H243">
        <f>_dat80[[#This Row],[LOG(Expenditure 80)]]-G242</f>
        <v>-3.6054061774531299E-2</v>
      </c>
      <c r="I243">
        <f>(1+(_dat80[[#This Row],[Expenditure]]-F242)/F242)^12-1</f>
        <v>-0.35121165566090251</v>
      </c>
      <c r="J243" s="2">
        <f>$W$17+$W$18*_dat80[[#This Row],[DecDate]]</f>
        <v>1256.498571117987</v>
      </c>
      <c r="K243" s="2">
        <f>$W$40+$W$41*_dat80[[#This Row],[DecDate]]+_dat80[[#This Row],[DecDate^2]]*$W$42</f>
        <v>1262.2013118915784</v>
      </c>
      <c r="L243" s="2">
        <f>$AG$17+_dat80[[#This Row],[DecDate]]*$AG$18</f>
        <v>7.1400127009293426</v>
      </c>
      <c r="M243" s="2">
        <f>$AG$40+$AG$41*_dat80[[#This Row],[DecDate]]+_dat80[[#This Row],[DecDate^2]]*$AG$42</f>
        <v>7.1401572389424333</v>
      </c>
      <c r="N243" s="2">
        <f>_dat80[[#This Row],[LOG(Expenditure 80)]]-_dat80[[#This Row],[Linear Trend LOG]]</f>
        <v>-6.7167460332742124E-3</v>
      </c>
      <c r="O243" s="2">
        <f t="shared" si="3"/>
        <v>-6.160422656785158E-3</v>
      </c>
      <c r="P243" s="2">
        <f>_dat80[[#This Row],[Cycle 80]]+_dat80[[#This Row],[Linear Trend LOG]]</f>
        <v>7.1338522782725571</v>
      </c>
      <c r="Q243" s="2">
        <f>_dat80[[#This Row],[Detrend(Linear)]]-_dat80[[#This Row],[Cycle 80]]</f>
        <v>-5.563233764890544E-4</v>
      </c>
      <c r="R243" s="2">
        <f>AVERAGEIF(_dat80[Quarter],_dat80[[#This Row],[Quarter]],_dat80[High Frequency])</f>
        <v>-7.1142253495101353E-3</v>
      </c>
      <c r="S243" s="2">
        <f>_dat80[[#This Row],[S0]]-AVERAGE($R$2:$R$5)</f>
        <v>-7.1690436126600685E-3</v>
      </c>
    </row>
    <row r="244" spans="1:19" x14ac:dyDescent="0.35">
      <c r="A244">
        <v>2010</v>
      </c>
      <c r="B244" s="1">
        <f>DATE(_dat80[[#This Row],[Year]],_dat80[[#This Row],[Quarter]]*3-1,15)</f>
        <v>40405</v>
      </c>
      <c r="C244" s="2">
        <f>_dat80[[#This Row],[Year]]+(_dat80[[#This Row],[Quarter]]-1)/4+1/8</f>
        <v>2010.625</v>
      </c>
      <c r="D244" s="2">
        <f>_dat80[[#This Row],[DecDate]]^2</f>
        <v>4042612.890625</v>
      </c>
      <c r="E244">
        <v>3</v>
      </c>
      <c r="F244">
        <v>1267</v>
      </c>
      <c r="G244">
        <f>LN(_dat80[[#This Row],[Expenditure]])</f>
        <v>7.1444071803211386</v>
      </c>
      <c r="H244">
        <f>_dat80[[#This Row],[LOG(Expenditure 80)]]-G243</f>
        <v>1.1111225425070259E-2</v>
      </c>
      <c r="I244">
        <f>(1+(_dat80[[#This Row],[Expenditure]]-F243)/F243)^12-1</f>
        <v>0.1426323792206281</v>
      </c>
      <c r="J244" s="2">
        <f>$W$17+$W$18*_dat80[[#This Row],[DecDate]]</f>
        <v>1258.4227906026463</v>
      </c>
      <c r="K244" s="2">
        <f>$W$40+$W$41*_dat80[[#This Row],[DecDate]]+_dat80[[#This Row],[DecDate^2]]*$W$42</f>
        <v>1264.4843071405485</v>
      </c>
      <c r="L244" s="2">
        <f>$AG$17+_dat80[[#This Row],[DecDate]]*$AG$18</f>
        <v>7.1418280751017198</v>
      </c>
      <c r="M244" s="2">
        <f>$AG$40+$AG$41*_dat80[[#This Row],[DecDate]]+_dat80[[#This Row],[DecDate^2]]*$AG$42</f>
        <v>7.1419817064154145</v>
      </c>
      <c r="N244" s="2">
        <f>_dat80[[#This Row],[LOG(Expenditure 80)]]-_dat80[[#This Row],[Linear Trend LOG]]</f>
        <v>2.5791052194188424E-3</v>
      </c>
      <c r="O244" s="2">
        <f t="shared" si="3"/>
        <v>4.5233270723926463E-3</v>
      </c>
      <c r="P244" s="2">
        <f>_dat80[[#This Row],[Cycle 80]]+_dat80[[#This Row],[Linear Trend LOG]]</f>
        <v>7.1463514021741128</v>
      </c>
      <c r="Q244" s="2">
        <f>_dat80[[#This Row],[Detrend(Linear)]]-_dat80[[#This Row],[Cycle 80]]</f>
        <v>-1.9442218529738039E-3</v>
      </c>
      <c r="R244" s="2">
        <f>AVERAGEIF(_dat80[Quarter],_dat80[[#This Row],[Quarter]],_dat80[High Frequency])</f>
        <v>3.946848336706609E-3</v>
      </c>
      <c r="S244" s="2">
        <f>_dat80[[#This Row],[S0]]-AVERAGE($R$2:$R$5)</f>
        <v>3.8920300735566758E-3</v>
      </c>
    </row>
    <row r="245" spans="1:19" x14ac:dyDescent="0.35">
      <c r="A245">
        <v>2010</v>
      </c>
      <c r="B245" s="1">
        <f>DATE(_dat80[[#This Row],[Year]],_dat80[[#This Row],[Quarter]]*3-1,15)</f>
        <v>40497</v>
      </c>
      <c r="C245" s="2">
        <f>_dat80[[#This Row],[Year]]+(_dat80[[#This Row],[Quarter]]-1)/4+1/8</f>
        <v>2010.875</v>
      </c>
      <c r="D245" s="2">
        <f>_dat80[[#This Row],[DecDate]]^2</f>
        <v>4043618.265625</v>
      </c>
      <c r="E245">
        <v>4</v>
      </c>
      <c r="F245">
        <v>1226</v>
      </c>
      <c r="G245">
        <f>LN(_dat80[[#This Row],[Expenditure]])</f>
        <v>7.111512116496157</v>
      </c>
      <c r="H245">
        <f>_dat80[[#This Row],[LOG(Expenditure 80)]]-G244</f>
        <v>-3.2895063824981641E-2</v>
      </c>
      <c r="I245">
        <f>(1+(_dat80[[#This Row],[Expenditure]]-F244)/F244)^12-1</f>
        <v>-0.32614529727394015</v>
      </c>
      <c r="J245" s="2">
        <f>$W$17+$W$18*_dat80[[#This Row],[DecDate]]</f>
        <v>1260.3470100873055</v>
      </c>
      <c r="K245" s="2">
        <f>$W$40+$W$41*_dat80[[#This Row],[DecDate]]+_dat80[[#This Row],[DecDate^2]]*$W$42</f>
        <v>1266.7708901471342</v>
      </c>
      <c r="L245" s="2">
        <f>$AG$17+_dat80[[#This Row],[DecDate]]*$AG$18</f>
        <v>7.143643449274097</v>
      </c>
      <c r="M245" s="2">
        <f>$AG$40+$AG$41*_dat80[[#This Row],[DecDate]]+_dat80[[#This Row],[DecDate^2]]*$AG$42</f>
        <v>7.1438062648214</v>
      </c>
      <c r="N245" s="2">
        <f>_dat80[[#This Row],[LOG(Expenditure 80)]]-_dat80[[#This Row],[Linear Trend LOG]]</f>
        <v>-3.2131332777940003E-2</v>
      </c>
      <c r="O245" s="2">
        <f t="shared" si="3"/>
        <v>-5.3025406482291263E-3</v>
      </c>
      <c r="P245" s="2">
        <f>_dat80[[#This Row],[Cycle 80]]+_dat80[[#This Row],[Linear Trend LOG]]</f>
        <v>7.1383409086258682</v>
      </c>
      <c r="Q245" s="2">
        <f>_dat80[[#This Row],[Detrend(Linear)]]-_dat80[[#This Row],[Cycle 80]]</f>
        <v>-2.6828792129710878E-2</v>
      </c>
      <c r="R245" s="2">
        <f>AVERAGEIF(_dat80[Quarter],_dat80[[#This Row],[Quarter]],_dat80[High Frequency])</f>
        <v>-2.9622809170614002E-2</v>
      </c>
      <c r="S245" s="2">
        <f>_dat80[[#This Row],[S0]]-AVERAGE($R$2:$R$5)</f>
        <v>-2.9677627433763936E-2</v>
      </c>
    </row>
    <row r="246" spans="1:19" x14ac:dyDescent="0.35">
      <c r="A246">
        <v>2011</v>
      </c>
      <c r="B246" s="1">
        <f>DATE(_dat80[[#This Row],[Year]],_dat80[[#This Row],[Quarter]]*3-1,15)</f>
        <v>40589</v>
      </c>
      <c r="C246" s="2">
        <f>_dat80[[#This Row],[Year]]+(_dat80[[#This Row],[Quarter]]-1)/4+1/8</f>
        <v>2011.125</v>
      </c>
      <c r="D246" s="2">
        <f>_dat80[[#This Row],[DecDate]]^2</f>
        <v>4044623.765625</v>
      </c>
      <c r="E246">
        <v>1</v>
      </c>
      <c r="F246">
        <v>1304</v>
      </c>
      <c r="G246">
        <f>LN(_dat80[[#This Row],[Expenditure]])</f>
        <v>7.1731917424865985</v>
      </c>
      <c r="H246">
        <f>_dat80[[#This Row],[LOG(Expenditure 80)]]-G245</f>
        <v>6.1679625990441522E-2</v>
      </c>
      <c r="I246">
        <f>(1+(_dat80[[#This Row],[Expenditure]]-F245)/F245)^12-1</f>
        <v>1.0962614827230008</v>
      </c>
      <c r="J246" s="2">
        <f>$W$17+$W$18*_dat80[[#This Row],[DecDate]]</f>
        <v>1262.2712295719648</v>
      </c>
      <c r="K246" s="2">
        <f>$W$40+$W$41*_dat80[[#This Row],[DecDate]]+_dat80[[#This Row],[DecDate^2]]*$W$42</f>
        <v>1269.0610609113792</v>
      </c>
      <c r="L246" s="2">
        <f>$AG$17+_dat80[[#This Row],[DecDate]]*$AG$18</f>
        <v>7.1454588234464724</v>
      </c>
      <c r="M246" s="2">
        <f>$AG$40+$AG$41*_dat80[[#This Row],[DecDate]]+_dat80[[#This Row],[DecDate^2]]*$AG$42</f>
        <v>7.1456309141603924</v>
      </c>
      <c r="N246" s="2">
        <f>_dat80[[#This Row],[LOG(Expenditure 80)]]-_dat80[[#This Row],[Linear Trend LOG]]</f>
        <v>2.7732919040126092E-2</v>
      </c>
      <c r="O246" s="2">
        <f t="shared" si="3"/>
        <v>-2.5417783036965958E-3</v>
      </c>
      <c r="P246" s="2">
        <f>_dat80[[#This Row],[Cycle 80]]+_dat80[[#This Row],[Linear Trend LOG]]</f>
        <v>7.1429170451427755</v>
      </c>
      <c r="Q246" s="2">
        <f>_dat80[[#This Row],[Detrend(Linear)]]-_dat80[[#This Row],[Cycle 80]]</f>
        <v>3.0274697343822689E-2</v>
      </c>
      <c r="R246" s="2">
        <f>AVERAGEIF(_dat80[Quarter],_dat80[[#This Row],[Quarter]],_dat80[High Frequency])</f>
        <v>3.3009459236017259E-2</v>
      </c>
      <c r="S246" s="2">
        <f>_dat80[[#This Row],[S0]]-AVERAGE($R$2:$R$5)</f>
        <v>3.2954640972867329E-2</v>
      </c>
    </row>
    <row r="247" spans="1:19" x14ac:dyDescent="0.35">
      <c r="A247">
        <v>2011</v>
      </c>
      <c r="B247" s="1">
        <f>DATE(_dat80[[#This Row],[Year]],_dat80[[#This Row],[Quarter]]*3-1,15)</f>
        <v>40678</v>
      </c>
      <c r="C247" s="2">
        <f>_dat80[[#This Row],[Year]]+(_dat80[[#This Row],[Quarter]]-1)/4+1/8</f>
        <v>2011.375</v>
      </c>
      <c r="D247" s="2">
        <f>_dat80[[#This Row],[DecDate]]^2</f>
        <v>4045629.390625</v>
      </c>
      <c r="E247">
        <v>2</v>
      </c>
      <c r="F247">
        <v>1248</v>
      </c>
      <c r="G247">
        <f>LN(_dat80[[#This Row],[Expenditure]])</f>
        <v>7.1292975489293733</v>
      </c>
      <c r="H247">
        <f>_dat80[[#This Row],[LOG(Expenditure 80)]]-G246</f>
        <v>-4.3894193557225236E-2</v>
      </c>
      <c r="I247">
        <f>(1+(_dat80[[#This Row],[Expenditure]]-F246)/F246)^12-1</f>
        <v>-0.40946733224784837</v>
      </c>
      <c r="J247" s="2">
        <f>$W$17+$W$18*_dat80[[#This Row],[DecDate]]</f>
        <v>1264.1954490566241</v>
      </c>
      <c r="K247" s="2">
        <f>$W$40+$W$41*_dat80[[#This Row],[DecDate]]+_dat80[[#This Row],[DecDate^2]]*$W$42</f>
        <v>1271.3548194332834</v>
      </c>
      <c r="L247" s="2">
        <f>$AG$17+_dat80[[#This Row],[DecDate]]*$AG$18</f>
        <v>7.1472741976188496</v>
      </c>
      <c r="M247" s="2">
        <f>$AG$40+$AG$41*_dat80[[#This Row],[DecDate]]+_dat80[[#This Row],[DecDate^2]]*$AG$42</f>
        <v>7.1474556544323899</v>
      </c>
      <c r="N247" s="2">
        <f>_dat80[[#This Row],[LOG(Expenditure 80)]]-_dat80[[#This Row],[Linear Trend LOG]]</f>
        <v>-1.7976648689476349E-2</v>
      </c>
      <c r="O247" s="2">
        <f t="shared" si="3"/>
        <v>-8.5040314993797498E-3</v>
      </c>
      <c r="P247" s="2">
        <f>_dat80[[#This Row],[Cycle 80]]+_dat80[[#This Row],[Linear Trend LOG]]</f>
        <v>7.1387701661194702</v>
      </c>
      <c r="Q247" s="2">
        <f>_dat80[[#This Row],[Detrend(Linear)]]-_dat80[[#This Row],[Cycle 80]]</f>
        <v>-9.4726171900965991E-3</v>
      </c>
      <c r="R247" s="2">
        <f>AVERAGEIF(_dat80[Quarter],_dat80[[#This Row],[Quarter]],_dat80[High Frequency])</f>
        <v>-7.1142253495101353E-3</v>
      </c>
      <c r="S247" s="2">
        <f>_dat80[[#This Row],[S0]]-AVERAGE($R$2:$R$5)</f>
        <v>-7.1690436126600685E-3</v>
      </c>
    </row>
    <row r="248" spans="1:19" x14ac:dyDescent="0.35">
      <c r="A248">
        <v>2011</v>
      </c>
      <c r="B248" s="1">
        <f>DATE(_dat80[[#This Row],[Year]],_dat80[[#This Row],[Quarter]]*3-1,15)</f>
        <v>40770</v>
      </c>
      <c r="C248" s="2">
        <f>_dat80[[#This Row],[Year]]+(_dat80[[#This Row],[Quarter]]-1)/4+1/8</f>
        <v>2011.625</v>
      </c>
      <c r="D248" s="2">
        <f>_dat80[[#This Row],[DecDate]]^2</f>
        <v>4046635.140625</v>
      </c>
      <c r="E248">
        <v>3</v>
      </c>
      <c r="F248">
        <v>1282</v>
      </c>
      <c r="G248">
        <f>LN(_dat80[[#This Row],[Expenditure]])</f>
        <v>7.1561766374806153</v>
      </c>
      <c r="H248">
        <f>_dat80[[#This Row],[LOG(Expenditure 80)]]-G247</f>
        <v>2.6879088551241992E-2</v>
      </c>
      <c r="I248">
        <f>(1+(_dat80[[#This Row],[Expenditure]]-F247)/F247)^12-1</f>
        <v>0.38064262713544061</v>
      </c>
      <c r="J248" s="2">
        <f>$W$17+$W$18*_dat80[[#This Row],[DecDate]]</f>
        <v>1266.1196685412851</v>
      </c>
      <c r="K248" s="2">
        <f>$W$40+$W$41*_dat80[[#This Row],[DecDate]]+_dat80[[#This Row],[DecDate^2]]*$W$42</f>
        <v>1273.6521657128178</v>
      </c>
      <c r="L248" s="2">
        <f>$AG$17+_dat80[[#This Row],[DecDate]]*$AG$18</f>
        <v>7.1490895717912268</v>
      </c>
      <c r="M248" s="2">
        <f>$AG$40+$AG$41*_dat80[[#This Row],[DecDate]]+_dat80[[#This Row],[DecDate^2]]*$AG$42</f>
        <v>7.1492804856373935</v>
      </c>
      <c r="N248" s="2">
        <f>_dat80[[#This Row],[LOG(Expenditure 80)]]-_dat80[[#This Row],[Linear Trend LOG]]</f>
        <v>7.0870656893884387E-3</v>
      </c>
      <c r="O248" s="2">
        <f t="shared" si="3"/>
        <v>3.0872677817523455E-3</v>
      </c>
      <c r="P248" s="2">
        <f>_dat80[[#This Row],[Cycle 80]]+_dat80[[#This Row],[Linear Trend LOG]]</f>
        <v>7.152176839572979</v>
      </c>
      <c r="Q248" s="2">
        <f>_dat80[[#This Row],[Detrend(Linear)]]-_dat80[[#This Row],[Cycle 80]]</f>
        <v>3.9997979076360933E-3</v>
      </c>
      <c r="R248" s="2">
        <f>AVERAGEIF(_dat80[Quarter],_dat80[[#This Row],[Quarter]],_dat80[High Frequency])</f>
        <v>3.946848336706609E-3</v>
      </c>
      <c r="S248" s="2">
        <f>_dat80[[#This Row],[S0]]-AVERAGE($R$2:$R$5)</f>
        <v>3.8920300735566758E-3</v>
      </c>
    </row>
    <row r="249" spans="1:19" x14ac:dyDescent="0.35">
      <c r="A249">
        <v>2011</v>
      </c>
      <c r="B249" s="1">
        <f>DATE(_dat80[[#This Row],[Year]],_dat80[[#This Row],[Quarter]]*3-1,15)</f>
        <v>40862</v>
      </c>
      <c r="C249" s="2">
        <f>_dat80[[#This Row],[Year]]+(_dat80[[#This Row],[Quarter]]-1)/4+1/8</f>
        <v>2011.875</v>
      </c>
      <c r="D249" s="2">
        <f>_dat80[[#This Row],[DecDate]]^2</f>
        <v>4047641.015625</v>
      </c>
      <c r="E249">
        <v>4</v>
      </c>
      <c r="F249">
        <v>1241</v>
      </c>
      <c r="G249">
        <f>LN(_dat80[[#This Row],[Expenditure]])</f>
        <v>7.1236727852046071</v>
      </c>
      <c r="H249">
        <f>_dat80[[#This Row],[LOG(Expenditure 80)]]-G248</f>
        <v>-3.2503852276008161E-2</v>
      </c>
      <c r="I249">
        <f>(1+(_dat80[[#This Row],[Expenditure]]-F248)/F248)^12-1</f>
        <v>-0.32297442329786807</v>
      </c>
      <c r="J249" s="2">
        <f>$W$17+$W$18*_dat80[[#This Row],[DecDate]]</f>
        <v>1268.0438880259444</v>
      </c>
      <c r="K249" s="2">
        <f>$W$40+$W$41*_dat80[[#This Row],[DecDate]]+_dat80[[#This Row],[DecDate^2]]*$W$42</f>
        <v>1275.9530997499678</v>
      </c>
      <c r="L249" s="2">
        <f>$AG$17+_dat80[[#This Row],[DecDate]]*$AG$18</f>
        <v>7.150904945963604</v>
      </c>
      <c r="M249" s="2">
        <f>$AG$40+$AG$41*_dat80[[#This Row],[DecDate]]+_dat80[[#This Row],[DecDate^2]]*$AG$42</f>
        <v>7.1511054077754039</v>
      </c>
      <c r="N249" s="2">
        <f>_dat80[[#This Row],[LOG(Expenditure 80)]]-_dat80[[#This Row],[Linear Trend LOG]]</f>
        <v>-2.7232160758996926E-2</v>
      </c>
      <c r="O249" s="2">
        <f t="shared" si="3"/>
        <v>-6.3882845747674109E-3</v>
      </c>
      <c r="P249" s="2">
        <f>_dat80[[#This Row],[Cycle 80]]+_dat80[[#This Row],[Linear Trend LOG]]</f>
        <v>7.1445166613888365</v>
      </c>
      <c r="Q249" s="2">
        <f>_dat80[[#This Row],[Detrend(Linear)]]-_dat80[[#This Row],[Cycle 80]]</f>
        <v>-2.0843876184229514E-2</v>
      </c>
      <c r="R249" s="2">
        <f>AVERAGEIF(_dat80[Quarter],_dat80[[#This Row],[Quarter]],_dat80[High Frequency])</f>
        <v>-2.9622809170614002E-2</v>
      </c>
      <c r="S249" s="2">
        <f>_dat80[[#This Row],[S0]]-AVERAGE($R$2:$R$5)</f>
        <v>-2.9677627433763936E-2</v>
      </c>
    </row>
    <row r="250" spans="1:19" x14ac:dyDescent="0.35">
      <c r="A250">
        <v>2012</v>
      </c>
      <c r="B250" s="1">
        <f>DATE(_dat80[[#This Row],[Year]],_dat80[[#This Row],[Quarter]]*3-1,15)</f>
        <v>40954</v>
      </c>
      <c r="C250" s="2">
        <f>_dat80[[#This Row],[Year]]+(_dat80[[#This Row],[Quarter]]-1)/4+1/8</f>
        <v>2012.125</v>
      </c>
      <c r="D250" s="2">
        <f>_dat80[[#This Row],[DecDate]]^2</f>
        <v>4048647.015625</v>
      </c>
      <c r="E250">
        <v>1</v>
      </c>
      <c r="F250">
        <v>1311</v>
      </c>
      <c r="G250">
        <f>LN(_dat80[[#This Row],[Expenditure]])</f>
        <v>7.1785454837636999</v>
      </c>
      <c r="H250">
        <f>_dat80[[#This Row],[LOG(Expenditure 80)]]-G249</f>
        <v>5.4872698559092825E-2</v>
      </c>
      <c r="I250">
        <f>(1+(_dat80[[#This Row],[Expenditure]]-F249)/F249)^12-1</f>
        <v>0.93183896855841986</v>
      </c>
      <c r="J250" s="2">
        <f>$W$17+$W$18*_dat80[[#This Row],[DecDate]]</f>
        <v>1269.9681075106037</v>
      </c>
      <c r="K250" s="2">
        <f>$W$40+$W$41*_dat80[[#This Row],[DecDate]]+_dat80[[#This Row],[DecDate^2]]*$W$42</f>
        <v>1278.2576215447916</v>
      </c>
      <c r="L250" s="2">
        <f>$AG$17+_dat80[[#This Row],[DecDate]]*$AG$18</f>
        <v>7.1527203201359795</v>
      </c>
      <c r="M250" s="2">
        <f>$AG$40+$AG$41*_dat80[[#This Row],[DecDate]]+_dat80[[#This Row],[DecDate^2]]*$AG$42</f>
        <v>7.1529304208464204</v>
      </c>
      <c r="N250" s="2">
        <f>_dat80[[#This Row],[LOG(Expenditure 80)]]-_dat80[[#This Row],[Linear Trend LOG]]</f>
        <v>2.5825163627720471E-2</v>
      </c>
      <c r="O250" s="2">
        <f t="shared" si="3"/>
        <v>-1.2738316645094726E-3</v>
      </c>
      <c r="P250" s="2">
        <f>_dat80[[#This Row],[Cycle 80]]+_dat80[[#This Row],[Linear Trend LOG]]</f>
        <v>7.1514464884714704</v>
      </c>
      <c r="Q250" s="2">
        <f>_dat80[[#This Row],[Detrend(Linear)]]-_dat80[[#This Row],[Cycle 80]]</f>
        <v>2.7098995292229942E-2</v>
      </c>
      <c r="R250" s="2">
        <f>AVERAGEIF(_dat80[Quarter],_dat80[[#This Row],[Quarter]],_dat80[High Frequency])</f>
        <v>3.3009459236017259E-2</v>
      </c>
      <c r="S250" s="2">
        <f>_dat80[[#This Row],[S0]]-AVERAGE($R$2:$R$5)</f>
        <v>3.2954640972867329E-2</v>
      </c>
    </row>
    <row r="251" spans="1:19" x14ac:dyDescent="0.35">
      <c r="A251">
        <v>2012</v>
      </c>
      <c r="B251" s="1">
        <f>DATE(_dat80[[#This Row],[Year]],_dat80[[#This Row],[Quarter]]*3-1,15)</f>
        <v>41044</v>
      </c>
      <c r="C251" s="2">
        <f>_dat80[[#This Row],[Year]]+(_dat80[[#This Row],[Quarter]]-1)/4+1/8</f>
        <v>2012.375</v>
      </c>
      <c r="D251" s="2">
        <f>_dat80[[#This Row],[DecDate]]^2</f>
        <v>4049653.140625</v>
      </c>
      <c r="E251">
        <v>2</v>
      </c>
      <c r="F251">
        <v>1255</v>
      </c>
      <c r="G251">
        <f>LN(_dat80[[#This Row],[Expenditure]])</f>
        <v>7.134890851565884</v>
      </c>
      <c r="H251">
        <f>_dat80[[#This Row],[LOG(Expenditure 80)]]-G250</f>
        <v>-4.3654632197815957E-2</v>
      </c>
      <c r="I251">
        <f>(1+(_dat80[[#This Row],[Expenditure]]-F250)/F250)^12-1</f>
        <v>-0.40776726409086061</v>
      </c>
      <c r="J251" s="2">
        <f>$W$17+$W$18*_dat80[[#This Row],[DecDate]]</f>
        <v>1271.8923269952629</v>
      </c>
      <c r="K251" s="2">
        <f>$W$40+$W$41*_dat80[[#This Row],[DecDate]]+_dat80[[#This Row],[DecDate^2]]*$W$42</f>
        <v>1280.5657310972601</v>
      </c>
      <c r="L251" s="2">
        <f>$AG$17+_dat80[[#This Row],[DecDate]]*$AG$18</f>
        <v>7.1545356943083567</v>
      </c>
      <c r="M251" s="2">
        <f>$AG$40+$AG$41*_dat80[[#This Row],[DecDate]]+_dat80[[#This Row],[DecDate^2]]*$AG$42</f>
        <v>7.1547555248504437</v>
      </c>
      <c r="N251" s="2">
        <f>_dat80[[#This Row],[LOG(Expenditure 80)]]-_dat80[[#This Row],[Linear Trend LOG]]</f>
        <v>-1.964484274247269E-2</v>
      </c>
      <c r="O251" s="2">
        <f t="shared" si="3"/>
        <v>-6.2339247127773945E-3</v>
      </c>
      <c r="P251" s="2">
        <f>_dat80[[#This Row],[Cycle 80]]+_dat80[[#This Row],[Linear Trend LOG]]</f>
        <v>7.1483017695955793</v>
      </c>
      <c r="Q251" s="2">
        <f>_dat80[[#This Row],[Detrend(Linear)]]-_dat80[[#This Row],[Cycle 80]]</f>
        <v>-1.3410918029695296E-2</v>
      </c>
      <c r="R251" s="2">
        <f>AVERAGEIF(_dat80[Quarter],_dat80[[#This Row],[Quarter]],_dat80[High Frequency])</f>
        <v>-7.1142253495101353E-3</v>
      </c>
      <c r="S251" s="2">
        <f>_dat80[[#This Row],[S0]]-AVERAGE($R$2:$R$5)</f>
        <v>-7.1690436126600685E-3</v>
      </c>
    </row>
    <row r="252" spans="1:19" x14ac:dyDescent="0.35">
      <c r="A252">
        <v>2012</v>
      </c>
      <c r="B252" s="1">
        <f>DATE(_dat80[[#This Row],[Year]],_dat80[[#This Row],[Quarter]]*3-1,15)</f>
        <v>41136</v>
      </c>
      <c r="C252" s="2">
        <f>_dat80[[#This Row],[Year]]+(_dat80[[#This Row],[Quarter]]-1)/4+1/8</f>
        <v>2012.625</v>
      </c>
      <c r="D252" s="2">
        <f>_dat80[[#This Row],[DecDate]]^2</f>
        <v>4050659.390625</v>
      </c>
      <c r="E252">
        <v>3</v>
      </c>
      <c r="F252">
        <v>1292</v>
      </c>
      <c r="G252">
        <f>LN(_dat80[[#This Row],[Expenditure]])</f>
        <v>7.1639466843425472</v>
      </c>
      <c r="H252">
        <f>_dat80[[#This Row],[LOG(Expenditure 80)]]-G251</f>
        <v>2.9055832776663237E-2</v>
      </c>
      <c r="I252">
        <f>(1+(_dat80[[#This Row],[Expenditure]]-F251)/F251)^12-1</f>
        <v>0.41718143382484452</v>
      </c>
      <c r="J252" s="2">
        <f>$W$17+$W$18*_dat80[[#This Row],[DecDate]]</f>
        <v>1273.8165464799222</v>
      </c>
      <c r="K252" s="2">
        <f>$W$40+$W$41*_dat80[[#This Row],[DecDate]]+_dat80[[#This Row],[DecDate^2]]*$W$42</f>
        <v>1282.8774284073734</v>
      </c>
      <c r="L252" s="2">
        <f>$AG$17+_dat80[[#This Row],[DecDate]]*$AG$18</f>
        <v>7.1563510684807339</v>
      </c>
      <c r="M252" s="2">
        <f>$AG$40+$AG$41*_dat80[[#This Row],[DecDate]]+_dat80[[#This Row],[DecDate^2]]*$AG$42</f>
        <v>7.1565807197874705</v>
      </c>
      <c r="N252" s="2">
        <f>_dat80[[#This Row],[LOG(Expenditure 80)]]-_dat80[[#This Row],[Linear Trend LOG]]</f>
        <v>7.5956158618133429E-3</v>
      </c>
      <c r="O252" s="2">
        <f t="shared" si="3"/>
        <v>3.9902870864152009E-3</v>
      </c>
      <c r="P252" s="2">
        <f>_dat80[[#This Row],[Cycle 80]]+_dat80[[#This Row],[Linear Trend LOG]]</f>
        <v>7.1603413555671489</v>
      </c>
      <c r="Q252" s="2">
        <f>_dat80[[#This Row],[Detrend(Linear)]]-_dat80[[#This Row],[Cycle 80]]</f>
        <v>3.6053287753981421E-3</v>
      </c>
      <c r="R252" s="2">
        <f>AVERAGEIF(_dat80[Quarter],_dat80[[#This Row],[Quarter]],_dat80[High Frequency])</f>
        <v>3.946848336706609E-3</v>
      </c>
      <c r="S252" s="2">
        <f>_dat80[[#This Row],[S0]]-AVERAGE($R$2:$R$5)</f>
        <v>3.8920300735566758E-3</v>
      </c>
    </row>
    <row r="253" spans="1:19" x14ac:dyDescent="0.35">
      <c r="A253">
        <v>2012</v>
      </c>
      <c r="B253" s="1">
        <f>DATE(_dat80[[#This Row],[Year]],_dat80[[#This Row],[Quarter]]*3-1,15)</f>
        <v>41228</v>
      </c>
      <c r="C253" s="2">
        <f>_dat80[[#This Row],[Year]]+(_dat80[[#This Row],[Quarter]]-1)/4+1/8</f>
        <v>2012.875</v>
      </c>
      <c r="D253" s="2">
        <f>_dat80[[#This Row],[DecDate]]^2</f>
        <v>4051665.765625</v>
      </c>
      <c r="E253">
        <v>4</v>
      </c>
      <c r="F253">
        <v>1262</v>
      </c>
      <c r="G253">
        <f>LN(_dat80[[#This Row],[Expenditure]])</f>
        <v>7.1404530431011581</v>
      </c>
      <c r="H253">
        <f>_dat80[[#This Row],[LOG(Expenditure 80)]]-G252</f>
        <v>-2.3493641241389085E-2</v>
      </c>
      <c r="I253">
        <f>(1+(_dat80[[#This Row],[Expenditure]]-F252)/F252)^12-1</f>
        <v>-0.24566875833954638</v>
      </c>
      <c r="J253" s="2">
        <f>$W$17+$W$18*_dat80[[#This Row],[DecDate]]</f>
        <v>1275.7407659645814</v>
      </c>
      <c r="K253" s="2">
        <f>$W$40+$W$41*_dat80[[#This Row],[DecDate]]+_dat80[[#This Row],[DecDate^2]]*$W$42</f>
        <v>1285.1927134751313</v>
      </c>
      <c r="L253" s="2">
        <f>$AG$17+_dat80[[#This Row],[DecDate]]*$AG$18</f>
        <v>7.1581664426531093</v>
      </c>
      <c r="M253" s="2">
        <f>$AG$40+$AG$41*_dat80[[#This Row],[DecDate]]+_dat80[[#This Row],[DecDate^2]]*$AG$42</f>
        <v>7.1584060056575041</v>
      </c>
      <c r="N253" s="2">
        <f>_dat80[[#This Row],[LOG(Expenditure 80)]]-_dat80[[#This Row],[Linear Trend LOG]]</f>
        <v>-1.771339955195117E-2</v>
      </c>
      <c r="O253" s="2">
        <f t="shared" si="3"/>
        <v>-2.7674235229330434E-3</v>
      </c>
      <c r="P253" s="2">
        <f>_dat80[[#This Row],[Cycle 80]]+_dat80[[#This Row],[Linear Trend LOG]]</f>
        <v>7.1553990191301766</v>
      </c>
      <c r="Q253" s="2">
        <f>_dat80[[#This Row],[Detrend(Linear)]]-_dat80[[#This Row],[Cycle 80]]</f>
        <v>-1.4945976029018126E-2</v>
      </c>
      <c r="R253" s="2">
        <f>AVERAGEIF(_dat80[Quarter],_dat80[[#This Row],[Quarter]],_dat80[High Frequency])</f>
        <v>-2.9622809170614002E-2</v>
      </c>
      <c r="S253" s="2">
        <f>_dat80[[#This Row],[S0]]-AVERAGE($R$2:$R$5)</f>
        <v>-2.9677627433763936E-2</v>
      </c>
    </row>
    <row r="254" spans="1:19" x14ac:dyDescent="0.35">
      <c r="A254">
        <v>2013</v>
      </c>
      <c r="B254" s="1">
        <f>DATE(_dat80[[#This Row],[Year]],_dat80[[#This Row],[Quarter]]*3-1,15)</f>
        <v>41320</v>
      </c>
      <c r="C254" s="2">
        <f>_dat80[[#This Row],[Year]]+(_dat80[[#This Row],[Quarter]]-1)/4+1/8</f>
        <v>2013.125</v>
      </c>
      <c r="D254" s="2">
        <f>_dat80[[#This Row],[DecDate]]^2</f>
        <v>4052672.265625</v>
      </c>
      <c r="E254">
        <v>1</v>
      </c>
      <c r="F254">
        <v>1318</v>
      </c>
      <c r="G254">
        <f>LN(_dat80[[#This Row],[Expenditure]])</f>
        <v>7.1838707150624526</v>
      </c>
      <c r="H254">
        <f>_dat80[[#This Row],[LOG(Expenditure 80)]]-G253</f>
        <v>4.3417671961294424E-2</v>
      </c>
      <c r="I254">
        <f>(1+(_dat80[[#This Row],[Expenditure]]-F253)/F253)^12-1</f>
        <v>0.68373083026699666</v>
      </c>
      <c r="J254" s="2">
        <f>$W$17+$W$18*_dat80[[#This Row],[DecDate]]</f>
        <v>1277.6649854492407</v>
      </c>
      <c r="K254" s="2">
        <f>$W$40+$W$41*_dat80[[#This Row],[DecDate]]+_dat80[[#This Row],[DecDate^2]]*$W$42</f>
        <v>1287.5115863005049</v>
      </c>
      <c r="L254" s="2">
        <f>$AG$17+_dat80[[#This Row],[DecDate]]*$AG$18</f>
        <v>7.1599818168254865</v>
      </c>
      <c r="M254" s="2">
        <f>$AG$40+$AG$41*_dat80[[#This Row],[DecDate]]+_dat80[[#This Row],[DecDate^2]]*$AG$42</f>
        <v>7.1602313824605455</v>
      </c>
      <c r="N254" s="2">
        <f>_dat80[[#This Row],[LOG(Expenditure 80)]]-_dat80[[#This Row],[Linear Trend LOG]]</f>
        <v>2.388889823696605E-2</v>
      </c>
      <c r="O254" s="2">
        <f t="shared" si="3"/>
        <v>4.1481287442536544E-3</v>
      </c>
      <c r="P254" s="2">
        <f>_dat80[[#This Row],[Cycle 80]]+_dat80[[#This Row],[Linear Trend LOG]]</f>
        <v>7.1641299455697398</v>
      </c>
      <c r="Q254" s="2">
        <f>_dat80[[#This Row],[Detrend(Linear)]]-_dat80[[#This Row],[Cycle 80]]</f>
        <v>1.9740769492712397E-2</v>
      </c>
      <c r="R254" s="2">
        <f>AVERAGEIF(_dat80[Quarter],_dat80[[#This Row],[Quarter]],_dat80[High Frequency])</f>
        <v>3.3009459236017259E-2</v>
      </c>
      <c r="S254" s="2">
        <f>_dat80[[#This Row],[S0]]-AVERAGE($R$2:$R$5)</f>
        <v>3.2954640972867329E-2</v>
      </c>
    </row>
    <row r="255" spans="1:19" x14ac:dyDescent="0.35">
      <c r="A255">
        <v>2013</v>
      </c>
      <c r="B255" s="1">
        <f>DATE(_dat80[[#This Row],[Year]],_dat80[[#This Row],[Quarter]]*3-1,15)</f>
        <v>41409</v>
      </c>
      <c r="C255" s="2">
        <f>_dat80[[#This Row],[Year]]+(_dat80[[#This Row],[Quarter]]-1)/4+1/8</f>
        <v>2013.375</v>
      </c>
      <c r="D255" s="2">
        <f>_dat80[[#This Row],[DecDate]]^2</f>
        <v>4053678.890625</v>
      </c>
      <c r="E255">
        <v>2</v>
      </c>
      <c r="F255">
        <v>1279</v>
      </c>
      <c r="G255">
        <f>LN(_dat80[[#This Row],[Expenditure]])</f>
        <v>7.153833801578843</v>
      </c>
      <c r="H255">
        <f>_dat80[[#This Row],[LOG(Expenditure 80)]]-G254</f>
        <v>-3.0036913483609595E-2</v>
      </c>
      <c r="I255">
        <f>(1+(_dat80[[#This Row],[Expenditure]]-F254)/F254)^12-1</f>
        <v>-0.30263264945526702</v>
      </c>
      <c r="J255" s="2">
        <f>$W$17+$W$18*_dat80[[#This Row],[DecDate]]</f>
        <v>1279.5892049339</v>
      </c>
      <c r="K255" s="2">
        <f>$W$40+$W$41*_dat80[[#This Row],[DecDate]]+_dat80[[#This Row],[DecDate^2]]*$W$42</f>
        <v>1289.8340468835377</v>
      </c>
      <c r="L255" s="2">
        <f>$AG$17+_dat80[[#This Row],[DecDate]]*$AG$18</f>
        <v>7.1617971909978637</v>
      </c>
      <c r="M255" s="2">
        <f>$AG$40+$AG$41*_dat80[[#This Row],[DecDate]]+_dat80[[#This Row],[DecDate^2]]*$AG$42</f>
        <v>7.1620568501965911</v>
      </c>
      <c r="N255" s="2">
        <f>_dat80[[#This Row],[LOG(Expenditure 80)]]-_dat80[[#This Row],[Linear Trend LOG]]</f>
        <v>-7.9633894190207499E-3</v>
      </c>
      <c r="O255" s="2">
        <f t="shared" si="3"/>
        <v>-2.6831823075275096E-3</v>
      </c>
      <c r="P255" s="2">
        <f>_dat80[[#This Row],[Cycle 80]]+_dat80[[#This Row],[Linear Trend LOG]]</f>
        <v>7.1591140086903362</v>
      </c>
      <c r="Q255" s="2">
        <f>_dat80[[#This Row],[Detrend(Linear)]]-_dat80[[#This Row],[Cycle 80]]</f>
        <v>-5.2802071114932403E-3</v>
      </c>
      <c r="R255" s="2">
        <f>AVERAGEIF(_dat80[Quarter],_dat80[[#This Row],[Quarter]],_dat80[High Frequency])</f>
        <v>-7.1142253495101353E-3</v>
      </c>
      <c r="S255" s="2">
        <f>_dat80[[#This Row],[S0]]-AVERAGE($R$2:$R$5)</f>
        <v>-7.1690436126600685E-3</v>
      </c>
    </row>
    <row r="256" spans="1:19" x14ac:dyDescent="0.35">
      <c r="A256">
        <v>2013</v>
      </c>
      <c r="B256" s="1">
        <f>DATE(_dat80[[#This Row],[Year]],_dat80[[#This Row],[Quarter]]*3-1,15)</f>
        <v>41501</v>
      </c>
      <c r="C256" s="2">
        <f>_dat80[[#This Row],[Year]]+(_dat80[[#This Row],[Quarter]]-1)/4+1/8</f>
        <v>2013.625</v>
      </c>
      <c r="D256" s="2">
        <f>_dat80[[#This Row],[DecDate]]^2</f>
        <v>4054685.640625</v>
      </c>
      <c r="E256">
        <v>3</v>
      </c>
      <c r="F256">
        <v>1311</v>
      </c>
      <c r="G256">
        <f>LN(_dat80[[#This Row],[Expenditure]])</f>
        <v>7.1785454837636999</v>
      </c>
      <c r="H256">
        <f>_dat80[[#This Row],[LOG(Expenditure 80)]]-G255</f>
        <v>2.4711682184856976E-2</v>
      </c>
      <c r="I256">
        <f>(1+(_dat80[[#This Row],[Expenditure]]-F255)/F255)^12-1</f>
        <v>0.34519661727596285</v>
      </c>
      <c r="J256" s="2">
        <f>$W$17+$W$18*_dat80[[#This Row],[DecDate]]</f>
        <v>1281.513424418561</v>
      </c>
      <c r="K256" s="2">
        <f>$W$40+$W$41*_dat80[[#This Row],[DecDate]]+_dat80[[#This Row],[DecDate^2]]*$W$42</f>
        <v>1292.1600952242297</v>
      </c>
      <c r="L256" s="2">
        <f>$AG$17+_dat80[[#This Row],[DecDate]]*$AG$18</f>
        <v>7.1636125651702391</v>
      </c>
      <c r="M256" s="2">
        <f>$AG$40+$AG$41*_dat80[[#This Row],[DecDate]]+_dat80[[#This Row],[DecDate^2]]*$AG$42</f>
        <v>7.1638824088656445</v>
      </c>
      <c r="N256" s="2">
        <f>_dat80[[#This Row],[LOG(Expenditure 80)]]-_dat80[[#This Row],[Linear Trend LOG]]</f>
        <v>1.4932918593460798E-2</v>
      </c>
      <c r="O256" s="2">
        <f t="shared" si="3"/>
        <v>5.997679143023937E-3</v>
      </c>
      <c r="P256" s="2">
        <f>_dat80[[#This Row],[Cycle 80]]+_dat80[[#This Row],[Linear Trend LOG]]</f>
        <v>7.1696102443132634</v>
      </c>
      <c r="Q256" s="2">
        <f>_dat80[[#This Row],[Detrend(Linear)]]-_dat80[[#This Row],[Cycle 80]]</f>
        <v>8.9352394504368608E-3</v>
      </c>
      <c r="R256" s="2">
        <f>AVERAGEIF(_dat80[Quarter],_dat80[[#This Row],[Quarter]],_dat80[High Frequency])</f>
        <v>3.946848336706609E-3</v>
      </c>
      <c r="S256" s="2">
        <f>_dat80[[#This Row],[S0]]-AVERAGE($R$2:$R$5)</f>
        <v>3.8920300735566758E-3</v>
      </c>
    </row>
    <row r="257" spans="1:19" x14ac:dyDescent="0.35">
      <c r="A257">
        <v>2013</v>
      </c>
      <c r="B257" s="1">
        <f>DATE(_dat80[[#This Row],[Year]],_dat80[[#This Row],[Quarter]]*3-1,15)</f>
        <v>41593</v>
      </c>
      <c r="C257" s="2">
        <f>_dat80[[#This Row],[Year]]+(_dat80[[#This Row],[Quarter]]-1)/4+1/8</f>
        <v>2013.875</v>
      </c>
      <c r="D257" s="2">
        <f>_dat80[[#This Row],[DecDate]]^2</f>
        <v>4055692.515625</v>
      </c>
      <c r="E257">
        <v>4</v>
      </c>
      <c r="F257">
        <v>1260</v>
      </c>
      <c r="G257">
        <f>LN(_dat80[[#This Row],[Expenditure]])</f>
        <v>7.1388669999455239</v>
      </c>
      <c r="H257">
        <f>_dat80[[#This Row],[LOG(Expenditure 80)]]-G256</f>
        <v>-3.9678483818176069E-2</v>
      </c>
      <c r="I257">
        <f>(1+(_dat80[[#This Row],[Expenditure]]-F256)/F256)^12-1</f>
        <v>-0.37882461028273839</v>
      </c>
      <c r="J257" s="2">
        <f>$W$17+$W$18*_dat80[[#This Row],[DecDate]]</f>
        <v>1283.4376439032203</v>
      </c>
      <c r="K257" s="2">
        <f>$W$40+$W$41*_dat80[[#This Row],[DecDate]]+_dat80[[#This Row],[DecDate^2]]*$W$42</f>
        <v>1294.489731322552</v>
      </c>
      <c r="L257" s="2">
        <f>$AG$17+_dat80[[#This Row],[DecDate]]*$AG$18</f>
        <v>7.1654279393426163</v>
      </c>
      <c r="M257" s="2">
        <f>$AG$40+$AG$41*_dat80[[#This Row],[DecDate]]+_dat80[[#This Row],[DecDate^2]]*$AG$42</f>
        <v>7.1657080584677022</v>
      </c>
      <c r="N257" s="2">
        <f>_dat80[[#This Row],[LOG(Expenditure 80)]]-_dat80[[#This Row],[Linear Trend LOG]]</f>
        <v>-2.6560939397092476E-2</v>
      </c>
      <c r="O257" s="2">
        <f t="shared" si="3"/>
        <v>-1.5125776624966391E-3</v>
      </c>
      <c r="P257" s="2">
        <f>_dat80[[#This Row],[Cycle 80]]+_dat80[[#This Row],[Linear Trend LOG]]</f>
        <v>7.1639153616801199</v>
      </c>
      <c r="Q257" s="2">
        <f>_dat80[[#This Row],[Detrend(Linear)]]-_dat80[[#This Row],[Cycle 80]]</f>
        <v>-2.5048361734595837E-2</v>
      </c>
      <c r="R257" s="2">
        <f>AVERAGEIF(_dat80[Quarter],_dat80[[#This Row],[Quarter]],_dat80[High Frequency])</f>
        <v>-2.9622809170614002E-2</v>
      </c>
      <c r="S257" s="2">
        <f>_dat80[[#This Row],[S0]]-AVERAGE($R$2:$R$5)</f>
        <v>-2.9677627433763936E-2</v>
      </c>
    </row>
    <row r="258" spans="1:19" x14ac:dyDescent="0.35">
      <c r="A258">
        <v>2014</v>
      </c>
      <c r="B258" s="1">
        <f>DATE(_dat80[[#This Row],[Year]],_dat80[[#This Row],[Quarter]]*3-1,15)</f>
        <v>41685</v>
      </c>
      <c r="C258" s="2">
        <f>_dat80[[#This Row],[Year]]+(_dat80[[#This Row],[Quarter]]-1)/4+1/8</f>
        <v>2014.125</v>
      </c>
      <c r="D258" s="2">
        <f>_dat80[[#This Row],[DecDate]]^2</f>
        <v>4056699.515625</v>
      </c>
      <c r="E258">
        <v>1</v>
      </c>
      <c r="F258">
        <v>1330</v>
      </c>
      <c r="G258">
        <f>LN(_dat80[[#This Row],[Expenditure]])</f>
        <v>7.1929342212157996</v>
      </c>
      <c r="H258">
        <f>_dat80[[#This Row],[LOG(Expenditure 80)]]-G257</f>
        <v>5.4067221270275745E-2</v>
      </c>
      <c r="I258">
        <f>(1+(_dat80[[#This Row],[Expenditure]]-F257)/F257)^12-1</f>
        <v>0.91325629180073009</v>
      </c>
      <c r="J258" s="2">
        <f>$W$17+$W$18*_dat80[[#This Row],[DecDate]]</f>
        <v>1285.3618633878796</v>
      </c>
      <c r="K258" s="2">
        <f>$W$40+$W$41*_dat80[[#This Row],[DecDate]]+_dat80[[#This Row],[DecDate^2]]*$W$42</f>
        <v>1296.8229551785189</v>
      </c>
      <c r="L258" s="2">
        <f>$AG$17+_dat80[[#This Row],[DecDate]]*$AG$18</f>
        <v>7.1672433135149936</v>
      </c>
      <c r="M258" s="2">
        <f>$AG$40+$AG$41*_dat80[[#This Row],[DecDate]]+_dat80[[#This Row],[DecDate^2]]*$AG$42</f>
        <v>7.1675337990027659</v>
      </c>
      <c r="N258" s="2">
        <f>_dat80[[#This Row],[LOG(Expenditure 80)]]-_dat80[[#This Row],[Linear Trend LOG]]</f>
        <v>2.5690907700806065E-2</v>
      </c>
      <c r="O258" s="2">
        <f t="shared" si="3"/>
        <v>1.4617710883976897E-3</v>
      </c>
      <c r="P258" s="2">
        <f>_dat80[[#This Row],[Cycle 80]]+_dat80[[#This Row],[Linear Trend LOG]]</f>
        <v>7.1687050846033911</v>
      </c>
      <c r="Q258" s="2">
        <f>_dat80[[#This Row],[Detrend(Linear)]]-_dat80[[#This Row],[Cycle 80]]</f>
        <v>2.4229136612408376E-2</v>
      </c>
      <c r="R258" s="2">
        <f>AVERAGEIF(_dat80[Quarter],_dat80[[#This Row],[Quarter]],_dat80[High Frequency])</f>
        <v>3.3009459236017259E-2</v>
      </c>
      <c r="S258" s="2">
        <f>_dat80[[#This Row],[S0]]-AVERAGE($R$2:$R$5)</f>
        <v>3.2954640972867329E-2</v>
      </c>
    </row>
    <row r="259" spans="1:19" x14ac:dyDescent="0.35">
      <c r="A259">
        <v>2014</v>
      </c>
      <c r="B259" s="1">
        <f>DATE(_dat80[[#This Row],[Year]],_dat80[[#This Row],[Quarter]]*3-1,15)</f>
        <v>41774</v>
      </c>
      <c r="C259" s="2">
        <f>_dat80[[#This Row],[Year]]+(_dat80[[#This Row],[Quarter]]-1)/4+1/8</f>
        <v>2014.375</v>
      </c>
      <c r="D259" s="2">
        <f>_dat80[[#This Row],[DecDate]]^2</f>
        <v>4057706.640625</v>
      </c>
      <c r="E259">
        <v>2</v>
      </c>
      <c r="F259">
        <v>1281</v>
      </c>
      <c r="G259">
        <f>LN(_dat80[[#This Row],[Expenditure]])</f>
        <v>7.1553963018967339</v>
      </c>
      <c r="H259">
        <f>_dat80[[#This Row],[LOG(Expenditure 80)]]-G258</f>
        <v>-3.7537919319065693E-2</v>
      </c>
      <c r="I259">
        <f>(1+(_dat80[[#This Row],[Expenditure]]-F258)/F258)^12-1</f>
        <v>-0.36266192348043502</v>
      </c>
      <c r="J259" s="2">
        <f>$W$17+$W$18*_dat80[[#This Row],[DecDate]]</f>
        <v>1287.2860828725388</v>
      </c>
      <c r="K259" s="2">
        <f>$W$40+$W$41*_dat80[[#This Row],[DecDate]]+_dat80[[#This Row],[DecDate^2]]*$W$42</f>
        <v>1299.159766792116</v>
      </c>
      <c r="L259" s="2">
        <f>$AG$17+_dat80[[#This Row],[DecDate]]*$AG$18</f>
        <v>7.1690586876873708</v>
      </c>
      <c r="M259" s="2">
        <f>$AG$40+$AG$41*_dat80[[#This Row],[DecDate]]+_dat80[[#This Row],[DecDate^2]]*$AG$42</f>
        <v>7.1693596304708374</v>
      </c>
      <c r="N259" s="2">
        <f>_dat80[[#This Row],[LOG(Expenditure 80)]]-_dat80[[#This Row],[Linear Trend LOG]]</f>
        <v>-1.3662385790636833E-2</v>
      </c>
      <c r="O259" s="2">
        <f t="shared" si="3"/>
        <v>-6.8658062938416363E-3</v>
      </c>
      <c r="P259" s="2">
        <f>_dat80[[#This Row],[Cycle 80]]+_dat80[[#This Row],[Linear Trend LOG]]</f>
        <v>7.1621928813935289</v>
      </c>
      <c r="Q259" s="2">
        <f>_dat80[[#This Row],[Detrend(Linear)]]-_dat80[[#This Row],[Cycle 80]]</f>
        <v>-6.7965794967951966E-3</v>
      </c>
      <c r="R259" s="2">
        <f>AVERAGEIF(_dat80[Quarter],_dat80[[#This Row],[Quarter]],_dat80[High Frequency])</f>
        <v>-7.1142253495101353E-3</v>
      </c>
      <c r="S259" s="2">
        <f>_dat80[[#This Row],[S0]]-AVERAGE($R$2:$R$5)</f>
        <v>-7.1690436126600685E-3</v>
      </c>
    </row>
    <row r="260" spans="1:19" x14ac:dyDescent="0.35">
      <c r="A260">
        <v>2014</v>
      </c>
      <c r="B260" s="1">
        <f>DATE(_dat80[[#This Row],[Year]],_dat80[[#This Row],[Quarter]]*3-1,15)</f>
        <v>41866</v>
      </c>
      <c r="C260" s="2">
        <f>_dat80[[#This Row],[Year]]+(_dat80[[#This Row],[Quarter]]-1)/4+1/8</f>
        <v>2014.625</v>
      </c>
      <c r="D260" s="2">
        <f>_dat80[[#This Row],[DecDate]]^2</f>
        <v>4058713.890625</v>
      </c>
      <c r="E260">
        <v>3</v>
      </c>
      <c r="F260">
        <v>1310</v>
      </c>
      <c r="G260">
        <f>LN(_dat80[[#This Row],[Expenditure]])</f>
        <v>7.1777824161951971</v>
      </c>
      <c r="H260">
        <f>_dat80[[#This Row],[LOG(Expenditure 80)]]-G259</f>
        <v>2.2386114298463156E-2</v>
      </c>
      <c r="I260">
        <f>(1+(_dat80[[#This Row],[Expenditure]]-F259)/F259)^12-1</f>
        <v>0.30817543882342391</v>
      </c>
      <c r="J260" s="2">
        <f>$W$17+$W$18*_dat80[[#This Row],[DecDate]]</f>
        <v>1289.2103023571981</v>
      </c>
      <c r="K260" s="2">
        <f>$W$40+$W$41*_dat80[[#This Row],[DecDate]]+_dat80[[#This Row],[DecDate^2]]*$W$42</f>
        <v>1301.5001661633723</v>
      </c>
      <c r="L260" s="2">
        <f>$AG$17+_dat80[[#This Row],[DecDate]]*$AG$18</f>
        <v>7.1708740618597462</v>
      </c>
      <c r="M260" s="2">
        <f>$AG$40+$AG$41*_dat80[[#This Row],[DecDate]]+_dat80[[#This Row],[DecDate^2]]*$AG$42</f>
        <v>7.1711855528719131</v>
      </c>
      <c r="N260" s="2">
        <f>_dat80[[#This Row],[LOG(Expenditure 80)]]-_dat80[[#This Row],[Linear Trend LOG]]</f>
        <v>6.9083543354508947E-3</v>
      </c>
      <c r="O260" s="2">
        <f t="shared" si="3"/>
        <v>5.1173938311718462E-3</v>
      </c>
      <c r="P260" s="2">
        <f>_dat80[[#This Row],[Cycle 80]]+_dat80[[#This Row],[Linear Trend LOG]]</f>
        <v>7.1759914556909177</v>
      </c>
      <c r="Q260" s="2">
        <f>_dat80[[#This Row],[Detrend(Linear)]]-_dat80[[#This Row],[Cycle 80]]</f>
        <v>1.7909605042790485E-3</v>
      </c>
      <c r="R260" s="2">
        <f>AVERAGEIF(_dat80[Quarter],_dat80[[#This Row],[Quarter]],_dat80[High Frequency])</f>
        <v>3.946848336706609E-3</v>
      </c>
      <c r="S260" s="2">
        <f>_dat80[[#This Row],[S0]]-AVERAGE($R$2:$R$5)</f>
        <v>3.8920300735566758E-3</v>
      </c>
    </row>
    <row r="261" spans="1:19" x14ac:dyDescent="0.35">
      <c r="A261">
        <v>2014</v>
      </c>
      <c r="B261" s="1">
        <f>DATE(_dat80[[#This Row],[Year]],_dat80[[#This Row],[Quarter]]*3-1,15)</f>
        <v>41958</v>
      </c>
      <c r="C261" s="2">
        <f>_dat80[[#This Row],[Year]]+(_dat80[[#This Row],[Quarter]]-1)/4+1/8</f>
        <v>2014.875</v>
      </c>
      <c r="D261" s="2">
        <f>_dat80[[#This Row],[DecDate]]^2</f>
        <v>4059721.265625</v>
      </c>
      <c r="E261">
        <v>4</v>
      </c>
      <c r="F261">
        <v>1269</v>
      </c>
      <c r="G261">
        <f>LN(_dat80[[#This Row],[Expenditure]])</f>
        <v>7.1459844677143876</v>
      </c>
      <c r="H261">
        <f>_dat80[[#This Row],[LOG(Expenditure 80)]]-G260</f>
        <v>-3.1797948480809524E-2</v>
      </c>
      <c r="I261">
        <f>(1+(_dat80[[#This Row],[Expenditure]]-F260)/F260)^12-1</f>
        <v>-0.31721508541708188</v>
      </c>
      <c r="J261" s="2">
        <f>$W$17+$W$18*_dat80[[#This Row],[DecDate]]</f>
        <v>1291.1345218418573</v>
      </c>
      <c r="K261" s="2">
        <f>$W$40+$W$41*_dat80[[#This Row],[DecDate]]+_dat80[[#This Row],[DecDate^2]]*$W$42</f>
        <v>1303.8441532922589</v>
      </c>
      <c r="L261" s="2">
        <f>$AG$17+_dat80[[#This Row],[DecDate]]*$AG$18</f>
        <v>7.1726894360321234</v>
      </c>
      <c r="M261" s="2">
        <f>$AG$40+$AG$41*_dat80[[#This Row],[DecDate]]+_dat80[[#This Row],[DecDate^2]]*$AG$42</f>
        <v>7.1730115662059966</v>
      </c>
      <c r="N261" s="2">
        <f>_dat80[[#This Row],[LOG(Expenditure 80)]]-_dat80[[#This Row],[Linear Trend LOG]]</f>
        <v>-2.6704968317735833E-2</v>
      </c>
      <c r="O261" s="2">
        <f t="shared" si="3"/>
        <v>-2.0316297576369992E-3</v>
      </c>
      <c r="P261" s="2">
        <f>_dat80[[#This Row],[Cycle 80]]+_dat80[[#This Row],[Linear Trend LOG]]</f>
        <v>7.1706578062744866</v>
      </c>
      <c r="Q261" s="2">
        <f>_dat80[[#This Row],[Detrend(Linear)]]-_dat80[[#This Row],[Cycle 80]]</f>
        <v>-2.4673338560098835E-2</v>
      </c>
      <c r="R261" s="2">
        <f>AVERAGEIF(_dat80[Quarter],_dat80[[#This Row],[Quarter]],_dat80[High Frequency])</f>
        <v>-2.9622809170614002E-2</v>
      </c>
      <c r="S261" s="2">
        <f>_dat80[[#This Row],[S0]]-AVERAGE($R$2:$R$5)</f>
        <v>-2.9677627433763936E-2</v>
      </c>
    </row>
    <row r="262" spans="1:19" x14ac:dyDescent="0.35">
      <c r="A262">
        <v>2015</v>
      </c>
      <c r="B262" s="1">
        <f>DATE(_dat80[[#This Row],[Year]],_dat80[[#This Row],[Quarter]]*3-1,15)</f>
        <v>42050</v>
      </c>
      <c r="C262" s="2">
        <f>_dat80[[#This Row],[Year]]+(_dat80[[#This Row],[Quarter]]-1)/4+1/8</f>
        <v>2015.125</v>
      </c>
      <c r="D262" s="2">
        <f>_dat80[[#This Row],[DecDate]]^2</f>
        <v>4060728.765625</v>
      </c>
      <c r="E262">
        <v>1</v>
      </c>
      <c r="F262">
        <v>1350</v>
      </c>
      <c r="G262">
        <f>LN(_dat80[[#This Row],[Expenditure]])</f>
        <v>7.2078598714324755</v>
      </c>
      <c r="H262">
        <f>_dat80[[#This Row],[LOG(Expenditure 80)]]-G261</f>
        <v>6.1875403718087973E-2</v>
      </c>
      <c r="I262">
        <f>(1+(_dat80[[#This Row],[Expenditure]]-F261)/F261)^12-1</f>
        <v>1.1011920879870161</v>
      </c>
      <c r="J262" s="2">
        <f>$W$17+$W$18*_dat80[[#This Row],[DecDate]]</f>
        <v>1293.0587413265166</v>
      </c>
      <c r="K262" s="2">
        <f>$W$40+$W$41*_dat80[[#This Row],[DecDate]]+_dat80[[#This Row],[DecDate^2]]*$W$42</f>
        <v>1306.1917281788046</v>
      </c>
      <c r="L262" s="2">
        <f>$AG$17+_dat80[[#This Row],[DecDate]]*$AG$18</f>
        <v>7.1745048102045006</v>
      </c>
      <c r="M262" s="2">
        <f>$AG$40+$AG$41*_dat80[[#This Row],[DecDate]]+_dat80[[#This Row],[DecDate^2]]*$AG$42</f>
        <v>7.1748376704730852</v>
      </c>
      <c r="N262" s="2">
        <f>_dat80[[#This Row],[LOG(Expenditure 80)]]-_dat80[[#This Row],[Linear Trend LOG]]</f>
        <v>3.3355061227974936E-2</v>
      </c>
      <c r="O262" s="2">
        <f t="shared" ref="O262:O285" si="4">AVERAGE(N260:N264)</f>
        <v>2.7562829900304566E-3</v>
      </c>
      <c r="P262" s="2">
        <f>_dat80[[#This Row],[Cycle 80]]+_dat80[[#This Row],[Linear Trend LOG]]</f>
        <v>7.1772610931945309</v>
      </c>
      <c r="Q262" s="2">
        <f>_dat80[[#This Row],[Detrend(Linear)]]-_dat80[[#This Row],[Cycle 80]]</f>
        <v>3.059877823794448E-2</v>
      </c>
      <c r="R262" s="2">
        <f>AVERAGEIF(_dat80[Quarter],_dat80[[#This Row],[Quarter]],_dat80[High Frequency])</f>
        <v>3.3009459236017259E-2</v>
      </c>
      <c r="S262" s="2">
        <f>_dat80[[#This Row],[S0]]-AVERAGE($R$2:$R$5)</f>
        <v>3.2954640972867329E-2</v>
      </c>
    </row>
    <row r="263" spans="1:19" x14ac:dyDescent="0.35">
      <c r="A263">
        <v>2015</v>
      </c>
      <c r="B263" s="1">
        <f>DATE(_dat80[[#This Row],[Year]],_dat80[[#This Row],[Quarter]]*3-1,15)</f>
        <v>42139</v>
      </c>
      <c r="C263" s="2">
        <f>_dat80[[#This Row],[Year]]+(_dat80[[#This Row],[Quarter]]-1)/4+1/8</f>
        <v>2015.375</v>
      </c>
      <c r="D263" s="2">
        <f>_dat80[[#This Row],[DecDate]]^2</f>
        <v>4061736.390625</v>
      </c>
      <c r="E263">
        <v>2</v>
      </c>
      <c r="F263">
        <v>1295</v>
      </c>
      <c r="G263">
        <f>LN(_dat80[[#This Row],[Expenditure]])</f>
        <v>7.1662659741336379</v>
      </c>
      <c r="H263">
        <f>_dat80[[#This Row],[LOG(Expenditure 80)]]-G262</f>
        <v>-4.1593897298837668E-2</v>
      </c>
      <c r="I263">
        <f>(1+(_dat80[[#This Row],[Expenditure]]-F262)/F262)^12-1</f>
        <v>-0.39293946673753888</v>
      </c>
      <c r="J263" s="2">
        <f>$W$17+$W$18*_dat80[[#This Row],[DecDate]]</f>
        <v>1294.9829608111759</v>
      </c>
      <c r="K263" s="2">
        <f>$W$40+$W$41*_dat80[[#This Row],[DecDate]]+_dat80[[#This Row],[DecDate^2]]*$W$42</f>
        <v>1308.542890822966</v>
      </c>
      <c r="L263" s="2">
        <f>$AG$17+_dat80[[#This Row],[DecDate]]*$AG$18</f>
        <v>7.176320184376876</v>
      </c>
      <c r="M263" s="2">
        <f>$AG$40+$AG$41*_dat80[[#This Row],[DecDate]]+_dat80[[#This Row],[DecDate^2]]*$AG$42</f>
        <v>7.1766638656731789</v>
      </c>
      <c r="N263" s="2">
        <f>_dat80[[#This Row],[LOG(Expenditure 80)]]-_dat80[[#This Row],[Linear Trend LOG]]</f>
        <v>-1.005421024323816E-2</v>
      </c>
      <c r="O263" s="2">
        <f t="shared" si="4"/>
        <v>-2.9127749555216908E-3</v>
      </c>
      <c r="P263" s="2">
        <f>_dat80[[#This Row],[Cycle 80]]+_dat80[[#This Row],[Linear Trend LOG]]</f>
        <v>7.1734074094213547</v>
      </c>
      <c r="Q263" s="2">
        <f>_dat80[[#This Row],[Detrend(Linear)]]-_dat80[[#This Row],[Cycle 80]]</f>
        <v>-7.1414352877164685E-3</v>
      </c>
      <c r="R263" s="2">
        <f>AVERAGEIF(_dat80[Quarter],_dat80[[#This Row],[Quarter]],_dat80[High Frequency])</f>
        <v>-7.1142253495101353E-3</v>
      </c>
      <c r="S263" s="2">
        <f>_dat80[[#This Row],[S0]]-AVERAGE($R$2:$R$5)</f>
        <v>-7.1690436126600685E-3</v>
      </c>
    </row>
    <row r="264" spans="1:19" x14ac:dyDescent="0.35">
      <c r="A264">
        <v>2015</v>
      </c>
      <c r="B264" s="1">
        <f>DATE(_dat80[[#This Row],[Year]],_dat80[[#This Row],[Quarter]]*3-1,15)</f>
        <v>42231</v>
      </c>
      <c r="C264" s="2">
        <f>_dat80[[#This Row],[Year]]+(_dat80[[#This Row],[Quarter]]-1)/4+1/8</f>
        <v>2015.625</v>
      </c>
      <c r="D264" s="2">
        <f>_dat80[[#This Row],[DecDate]]^2</f>
        <v>4062744.140625</v>
      </c>
      <c r="E264">
        <v>3</v>
      </c>
      <c r="F264">
        <v>1324</v>
      </c>
      <c r="G264">
        <f>LN(_dat80[[#This Row],[Expenditure]])</f>
        <v>7.1884127364969537</v>
      </c>
      <c r="H264">
        <f>_dat80[[#This Row],[LOG(Expenditure 80)]]-G263</f>
        <v>2.2146762363315808E-2</v>
      </c>
      <c r="I264">
        <f>(1+(_dat80[[#This Row],[Expenditure]]-F263)/F263)^12-1</f>
        <v>0.30442345779278912</v>
      </c>
      <c r="J264" s="2">
        <f>$W$17+$W$18*_dat80[[#This Row],[DecDate]]</f>
        <v>1296.907180295837</v>
      </c>
      <c r="K264" s="2">
        <f>$W$40+$W$41*_dat80[[#This Row],[DecDate]]+_dat80[[#This Row],[DecDate^2]]*$W$42</f>
        <v>1310.8976412247866</v>
      </c>
      <c r="L264" s="2">
        <f>$AG$17+_dat80[[#This Row],[DecDate]]*$AG$18</f>
        <v>7.1781355585492532</v>
      </c>
      <c r="M264" s="2">
        <f>$AG$40+$AG$41*_dat80[[#This Row],[DecDate]]+_dat80[[#This Row],[DecDate^2]]*$AG$42</f>
        <v>7.1784901518062796</v>
      </c>
      <c r="N264" s="2">
        <f>_dat80[[#This Row],[LOG(Expenditure 80)]]-_dat80[[#This Row],[Linear Trend LOG]]</f>
        <v>1.0277177947700444E-2</v>
      </c>
      <c r="O264" s="2">
        <f t="shared" si="4"/>
        <v>8.0908829633814967E-3</v>
      </c>
      <c r="P264" s="2">
        <f>_dat80[[#This Row],[Cycle 80]]+_dat80[[#This Row],[Linear Trend LOG]]</f>
        <v>7.1862264415126349</v>
      </c>
      <c r="Q264" s="2">
        <f>_dat80[[#This Row],[Detrend(Linear)]]-_dat80[[#This Row],[Cycle 80]]</f>
        <v>2.1862949843189476E-3</v>
      </c>
      <c r="R264" s="2">
        <f>AVERAGEIF(_dat80[Quarter],_dat80[[#This Row],[Quarter]],_dat80[High Frequency])</f>
        <v>3.946848336706609E-3</v>
      </c>
      <c r="S264" s="2">
        <f>_dat80[[#This Row],[S0]]-AVERAGE($R$2:$R$5)</f>
        <v>3.8920300735566758E-3</v>
      </c>
    </row>
    <row r="265" spans="1:19" x14ac:dyDescent="0.35">
      <c r="A265">
        <v>2015</v>
      </c>
      <c r="B265" s="1">
        <f>DATE(_dat80[[#This Row],[Year]],_dat80[[#This Row],[Quarter]]*3-1,15)</f>
        <v>42323</v>
      </c>
      <c r="C265" s="2">
        <f>_dat80[[#This Row],[Year]]+(_dat80[[#This Row],[Quarter]]-1)/4+1/8</f>
        <v>2015.875</v>
      </c>
      <c r="D265" s="2">
        <f>_dat80[[#This Row],[DecDate]]^2</f>
        <v>4063752.015625</v>
      </c>
      <c r="E265">
        <v>4</v>
      </c>
      <c r="F265">
        <v>1285</v>
      </c>
      <c r="G265">
        <f>LN(_dat80[[#This Row],[Expenditure]])</f>
        <v>7.1585139973293206</v>
      </c>
      <c r="H265">
        <f>_dat80[[#This Row],[LOG(Expenditure 80)]]-G264</f>
        <v>-2.9898739167633082E-2</v>
      </c>
      <c r="I265">
        <f>(1+(_dat80[[#This Row],[Expenditure]]-F264)/F264)^12-1</f>
        <v>-0.30147539122046108</v>
      </c>
      <c r="J265" s="2">
        <f>$W$17+$W$18*_dat80[[#This Row],[DecDate]]</f>
        <v>1298.8313997804962</v>
      </c>
      <c r="K265" s="2">
        <f>$W$40+$W$41*_dat80[[#This Row],[DecDate]]+_dat80[[#This Row],[DecDate^2]]*$W$42</f>
        <v>1313.2559793842665</v>
      </c>
      <c r="L265" s="2">
        <f>$AG$17+_dat80[[#This Row],[DecDate]]*$AG$18</f>
        <v>7.1799509327216304</v>
      </c>
      <c r="M265" s="2">
        <f>$AG$40+$AG$41*_dat80[[#This Row],[DecDate]]+_dat80[[#This Row],[DecDate^2]]*$AG$42</f>
        <v>7.1803165288723863</v>
      </c>
      <c r="N265" s="2">
        <f>_dat80[[#This Row],[LOG(Expenditure 80)]]-_dat80[[#This Row],[Linear Trend LOG]]</f>
        <v>-2.1436935392309842E-2</v>
      </c>
      <c r="O265" s="2">
        <f t="shared" si="4"/>
        <v>2.6001774354931226E-4</v>
      </c>
      <c r="P265" s="2">
        <f>_dat80[[#This Row],[Cycle 80]]+_dat80[[#This Row],[Linear Trend LOG]]</f>
        <v>7.1802109504651801</v>
      </c>
      <c r="Q265" s="2">
        <f>_dat80[[#This Row],[Detrend(Linear)]]-_dat80[[#This Row],[Cycle 80]]</f>
        <v>-2.1696953135859155E-2</v>
      </c>
      <c r="R265" s="2">
        <f>AVERAGEIF(_dat80[Quarter],_dat80[[#This Row],[Quarter]],_dat80[High Frequency])</f>
        <v>-2.9622809170614002E-2</v>
      </c>
      <c r="S265" s="2">
        <f>_dat80[[#This Row],[S0]]-AVERAGE($R$2:$R$5)</f>
        <v>-2.9677627433763936E-2</v>
      </c>
    </row>
    <row r="266" spans="1:19" x14ac:dyDescent="0.35">
      <c r="A266">
        <v>2016</v>
      </c>
      <c r="B266" s="1">
        <f>DATE(_dat80[[#This Row],[Year]],_dat80[[#This Row],[Quarter]]*3-1,15)</f>
        <v>42415</v>
      </c>
      <c r="C266" s="2">
        <f>_dat80[[#This Row],[Year]]+(_dat80[[#This Row],[Quarter]]-1)/4+1/8</f>
        <v>2016.125</v>
      </c>
      <c r="D266" s="2">
        <f>_dat80[[#This Row],[DecDate]]^2</f>
        <v>4064760.015625</v>
      </c>
      <c r="E266">
        <v>1</v>
      </c>
      <c r="F266">
        <v>1353</v>
      </c>
      <c r="G266">
        <f>LN(_dat80[[#This Row],[Expenditure]])</f>
        <v>7.2100796281707877</v>
      </c>
      <c r="H266">
        <f>_dat80[[#This Row],[LOG(Expenditure 80)]]-G265</f>
        <v>5.1565630841467147E-2</v>
      </c>
      <c r="I266">
        <f>(1+(_dat80[[#This Row],[Expenditure]]-F265)/F265)^12-1</f>
        <v>0.85667558764935858</v>
      </c>
      <c r="J266" s="2">
        <f>$W$17+$W$18*_dat80[[#This Row],[DecDate]]</f>
        <v>1300.7556192651555</v>
      </c>
      <c r="K266" s="2">
        <f>$W$40+$W$41*_dat80[[#This Row],[DecDate]]+_dat80[[#This Row],[DecDate^2]]*$W$42</f>
        <v>1315.6179053013766</v>
      </c>
      <c r="L266" s="2">
        <f>$AG$17+_dat80[[#This Row],[DecDate]]*$AG$18</f>
        <v>7.1817663068940076</v>
      </c>
      <c r="M266" s="2">
        <f>$AG$40+$AG$41*_dat80[[#This Row],[DecDate]]+_dat80[[#This Row],[DecDate^2]]*$AG$42</f>
        <v>7.1821429968714998</v>
      </c>
      <c r="N266" s="2">
        <f>_dat80[[#This Row],[LOG(Expenditure 80)]]-_dat80[[#This Row],[Linear Trend LOG]]</f>
        <v>2.8313321276780101E-2</v>
      </c>
      <c r="O266" s="2">
        <f t="shared" si="4"/>
        <v>3.9286124234672922E-3</v>
      </c>
      <c r="P266" s="2">
        <f>_dat80[[#This Row],[Cycle 80]]+_dat80[[#This Row],[Linear Trend LOG]]</f>
        <v>7.1856949193174753</v>
      </c>
      <c r="Q266" s="2">
        <f>_dat80[[#This Row],[Detrend(Linear)]]-_dat80[[#This Row],[Cycle 80]]</f>
        <v>2.4384708853312807E-2</v>
      </c>
      <c r="R266" s="2">
        <f>AVERAGEIF(_dat80[Quarter],_dat80[[#This Row],[Quarter]],_dat80[High Frequency])</f>
        <v>3.3009459236017259E-2</v>
      </c>
      <c r="S266" s="2">
        <f>_dat80[[#This Row],[S0]]-AVERAGE($R$2:$R$5)</f>
        <v>3.2954640972867329E-2</v>
      </c>
    </row>
    <row r="267" spans="1:19" x14ac:dyDescent="0.35">
      <c r="A267">
        <v>2016</v>
      </c>
      <c r="B267" s="1">
        <f>DATE(_dat80[[#This Row],[Year]],_dat80[[#This Row],[Quarter]]*3-1,15)</f>
        <v>42505</v>
      </c>
      <c r="C267" s="2">
        <f>_dat80[[#This Row],[Year]]+(_dat80[[#This Row],[Quarter]]-1)/4+1/8</f>
        <v>2016.375</v>
      </c>
      <c r="D267" s="2">
        <f>_dat80[[#This Row],[DecDate]]^2</f>
        <v>4065768.140625</v>
      </c>
      <c r="E267">
        <v>2</v>
      </c>
      <c r="F267">
        <v>1310</v>
      </c>
      <c r="G267">
        <f>LN(_dat80[[#This Row],[Expenditure]])</f>
        <v>7.1777824161951971</v>
      </c>
      <c r="H267">
        <f>_dat80[[#This Row],[LOG(Expenditure 80)]]-G266</f>
        <v>-3.2297211975590656E-2</v>
      </c>
      <c r="I267">
        <f>(1+(_dat80[[#This Row],[Expenditure]]-F266)/F266)^12-1</f>
        <v>-0.32129353089577695</v>
      </c>
      <c r="J267" s="2">
        <f>$W$17+$W$18*_dat80[[#This Row],[DecDate]]</f>
        <v>1302.6798387498147</v>
      </c>
      <c r="K267" s="2">
        <f>$W$40+$W$41*_dat80[[#This Row],[DecDate]]+_dat80[[#This Row],[DecDate^2]]*$W$42</f>
        <v>1317.9834189761314</v>
      </c>
      <c r="L267" s="2">
        <f>$AG$17+_dat80[[#This Row],[DecDate]]*$AG$18</f>
        <v>7.1835816810663831</v>
      </c>
      <c r="M267" s="2">
        <f>$AG$40+$AG$41*_dat80[[#This Row],[DecDate]]+_dat80[[#This Row],[DecDate^2]]*$AG$42</f>
        <v>7.1839695558036176</v>
      </c>
      <c r="N267" s="2">
        <f>_dat80[[#This Row],[LOG(Expenditure 80)]]-_dat80[[#This Row],[Linear Trend LOG]]</f>
        <v>-5.7992648711859829E-3</v>
      </c>
      <c r="O267" s="2">
        <f t="shared" si="4"/>
        <v>-4.802548732531697E-3</v>
      </c>
      <c r="P267" s="2">
        <f>_dat80[[#This Row],[Cycle 80]]+_dat80[[#This Row],[Linear Trend LOG]]</f>
        <v>7.178779132333851</v>
      </c>
      <c r="Q267" s="2">
        <f>_dat80[[#This Row],[Detrend(Linear)]]-_dat80[[#This Row],[Cycle 80]]</f>
        <v>-9.9671613865428589E-4</v>
      </c>
      <c r="R267" s="2">
        <f>AVERAGEIF(_dat80[Quarter],_dat80[[#This Row],[Quarter]],_dat80[High Frequency])</f>
        <v>-7.1142253495101353E-3</v>
      </c>
      <c r="S267" s="2">
        <f>_dat80[[#This Row],[S0]]-AVERAGE($R$2:$R$5)</f>
        <v>-7.1690436126600685E-3</v>
      </c>
    </row>
    <row r="268" spans="1:19" x14ac:dyDescent="0.35">
      <c r="A268">
        <v>2016</v>
      </c>
      <c r="B268" s="1">
        <f>DATE(_dat80[[#This Row],[Year]],_dat80[[#This Row],[Quarter]]*3-1,15)</f>
        <v>42597</v>
      </c>
      <c r="C268" s="2">
        <f>_dat80[[#This Row],[Year]]+(_dat80[[#This Row],[Quarter]]-1)/4+1/8</f>
        <v>2016.625</v>
      </c>
      <c r="D268" s="2">
        <f>_dat80[[#This Row],[DecDate]]^2</f>
        <v>4066776.390625</v>
      </c>
      <c r="E268">
        <v>3</v>
      </c>
      <c r="F268">
        <v>1331</v>
      </c>
      <c r="G268">
        <f>LN(_dat80[[#This Row],[Expenditure]])</f>
        <v>7.193685818395112</v>
      </c>
      <c r="H268">
        <f>_dat80[[#This Row],[LOG(Expenditure 80)]]-G267</f>
        <v>1.5903402199914929E-2</v>
      </c>
      <c r="I268">
        <f>(1+(_dat80[[#This Row],[Expenditure]]-F267)/F267)^12-1</f>
        <v>0.21026679422484462</v>
      </c>
      <c r="J268" s="2">
        <f>$W$17+$W$18*_dat80[[#This Row],[DecDate]]</f>
        <v>1304.604058234474</v>
      </c>
      <c r="K268" s="2">
        <f>$W$40+$W$41*_dat80[[#This Row],[DecDate]]+_dat80[[#This Row],[DecDate^2]]*$W$42</f>
        <v>1320.3525204085017</v>
      </c>
      <c r="L268" s="2">
        <f>$AG$17+_dat80[[#This Row],[DecDate]]*$AG$18</f>
        <v>7.1853970552387603</v>
      </c>
      <c r="M268" s="2">
        <f>$AG$40+$AG$41*_dat80[[#This Row],[DecDate]]+_dat80[[#This Row],[DecDate^2]]*$AG$42</f>
        <v>7.1857962056687423</v>
      </c>
      <c r="N268" s="2">
        <f>_dat80[[#This Row],[LOG(Expenditure 80)]]-_dat80[[#This Row],[Linear Trend LOG]]</f>
        <v>8.2887631563517417E-3</v>
      </c>
      <c r="O268" s="2">
        <f t="shared" si="4"/>
        <v>4.5801604594563729E-3</v>
      </c>
      <c r="P268" s="2">
        <f>_dat80[[#This Row],[Cycle 80]]+_dat80[[#This Row],[Linear Trend LOG]]</f>
        <v>7.1899772156982165</v>
      </c>
      <c r="Q268" s="2">
        <f>_dat80[[#This Row],[Detrend(Linear)]]-_dat80[[#This Row],[Cycle 80]]</f>
        <v>3.7086026968953687E-3</v>
      </c>
      <c r="R268" s="2">
        <f>AVERAGEIF(_dat80[Quarter],_dat80[[#This Row],[Quarter]],_dat80[High Frequency])</f>
        <v>3.946848336706609E-3</v>
      </c>
      <c r="S268" s="2">
        <f>_dat80[[#This Row],[S0]]-AVERAGE($R$2:$R$5)</f>
        <v>3.8920300735566758E-3</v>
      </c>
    </row>
    <row r="269" spans="1:19" x14ac:dyDescent="0.35">
      <c r="A269">
        <v>2016</v>
      </c>
      <c r="B269" s="1">
        <f>DATE(_dat80[[#This Row],[Year]],_dat80[[#This Row],[Quarter]]*3-1,15)</f>
        <v>42689</v>
      </c>
      <c r="C269" s="2">
        <f>_dat80[[#This Row],[Year]]+(_dat80[[#This Row],[Quarter]]-1)/4+1/8</f>
        <v>2016.875</v>
      </c>
      <c r="D269" s="2">
        <f>_dat80[[#This Row],[DecDate]]^2</f>
        <v>4067784.765625</v>
      </c>
      <c r="E269">
        <v>4</v>
      </c>
      <c r="F269">
        <v>1279</v>
      </c>
      <c r="G269">
        <f>LN(_dat80[[#This Row],[Expenditure]])</f>
        <v>7.153833801578843</v>
      </c>
      <c r="H269">
        <f>_dat80[[#This Row],[LOG(Expenditure 80)]]-G268</f>
        <v>-3.9852016816269042E-2</v>
      </c>
      <c r="I269">
        <f>(1+(_dat80[[#This Row],[Expenditure]]-F268)/F268)^12-1</f>
        <v>-0.38011679752565952</v>
      </c>
      <c r="J269" s="2">
        <f>$W$17+$W$18*_dat80[[#This Row],[DecDate]]</f>
        <v>1306.5282777191333</v>
      </c>
      <c r="K269" s="2">
        <f>$W$40+$W$41*_dat80[[#This Row],[DecDate]]+_dat80[[#This Row],[DecDate^2]]*$W$42</f>
        <v>1322.7252095985459</v>
      </c>
      <c r="L269" s="2">
        <f>$AG$17+_dat80[[#This Row],[DecDate]]*$AG$18</f>
        <v>7.1872124294111375</v>
      </c>
      <c r="M269" s="2">
        <f>$AG$40+$AG$41*_dat80[[#This Row],[DecDate]]+_dat80[[#This Row],[DecDate^2]]*$AG$42</f>
        <v>7.1876229464668739</v>
      </c>
      <c r="N269" s="2">
        <f>_dat80[[#This Row],[LOG(Expenditure 80)]]-_dat80[[#This Row],[Linear Trend LOG]]</f>
        <v>-3.3378627832294505E-2</v>
      </c>
      <c r="O269" s="2">
        <f t="shared" si="4"/>
        <v>-2.9327504247046222E-3</v>
      </c>
      <c r="P269" s="2">
        <f>_dat80[[#This Row],[Cycle 80]]+_dat80[[#This Row],[Linear Trend LOG]]</f>
        <v>7.1842796789864325</v>
      </c>
      <c r="Q269" s="2">
        <f>_dat80[[#This Row],[Detrend(Linear)]]-_dat80[[#This Row],[Cycle 80]]</f>
        <v>-3.0445877407589882E-2</v>
      </c>
      <c r="R269" s="2">
        <f>AVERAGEIF(_dat80[Quarter],_dat80[[#This Row],[Quarter]],_dat80[High Frequency])</f>
        <v>-2.9622809170614002E-2</v>
      </c>
      <c r="S269" s="2">
        <f>_dat80[[#This Row],[S0]]-AVERAGE($R$2:$R$5)</f>
        <v>-2.9677627433763936E-2</v>
      </c>
    </row>
    <row r="270" spans="1:19" x14ac:dyDescent="0.35">
      <c r="A270">
        <v>2017</v>
      </c>
      <c r="B270" s="1">
        <f>DATE(_dat80[[#This Row],[Year]],_dat80[[#This Row],[Quarter]]*3-1,15)</f>
        <v>42781</v>
      </c>
      <c r="C270" s="2">
        <f>_dat80[[#This Row],[Year]]+(_dat80[[#This Row],[Quarter]]-1)/4+1/8</f>
        <v>2017.125</v>
      </c>
      <c r="D270" s="2">
        <f>_dat80[[#This Row],[DecDate]]^2</f>
        <v>4068793.265625</v>
      </c>
      <c r="E270">
        <v>1</v>
      </c>
      <c r="F270">
        <v>1359</v>
      </c>
      <c r="G270">
        <f>LN(_dat80[[#This Row],[Expenditure]])</f>
        <v>7.2145044141511434</v>
      </c>
      <c r="H270">
        <f>_dat80[[#This Row],[LOG(Expenditure 80)]]-G269</f>
        <v>6.0670612572300442E-2</v>
      </c>
      <c r="I270">
        <f>(1+(_dat80[[#This Row],[Expenditure]]-F269)/F269)^12-1</f>
        <v>1.0710326567260493</v>
      </c>
      <c r="J270" s="2">
        <f>$W$17+$W$18*_dat80[[#This Row],[DecDate]]</f>
        <v>1308.4524972037925</v>
      </c>
      <c r="K270" s="2">
        <f>$W$40+$W$41*_dat80[[#This Row],[DecDate]]+_dat80[[#This Row],[DecDate^2]]*$W$42</f>
        <v>1325.1014865462348</v>
      </c>
      <c r="L270" s="2">
        <f>$AG$17+_dat80[[#This Row],[DecDate]]*$AG$18</f>
        <v>7.1890278035835129</v>
      </c>
      <c r="M270" s="2">
        <f>$AG$40+$AG$41*_dat80[[#This Row],[DecDate]]+_dat80[[#This Row],[DecDate^2]]*$AG$42</f>
        <v>7.1894497781980098</v>
      </c>
      <c r="N270" s="2">
        <f>_dat80[[#This Row],[LOG(Expenditure 80)]]-_dat80[[#This Row],[Linear Trend LOG]]</f>
        <v>2.5476610567630509E-2</v>
      </c>
      <c r="O270" s="2">
        <f t="shared" si="4"/>
        <v>2.2763146852664562E-4</v>
      </c>
      <c r="P270" s="2">
        <f>_dat80[[#This Row],[Cycle 80]]+_dat80[[#This Row],[Linear Trend LOG]]</f>
        <v>7.1892554350520399</v>
      </c>
      <c r="Q270" s="2">
        <f>_dat80[[#This Row],[Detrend(Linear)]]-_dat80[[#This Row],[Cycle 80]]</f>
        <v>2.5248979099103862E-2</v>
      </c>
      <c r="R270" s="2">
        <f>AVERAGEIF(_dat80[Quarter],_dat80[[#This Row],[Quarter]],_dat80[High Frequency])</f>
        <v>3.3009459236017259E-2</v>
      </c>
      <c r="S270" s="2">
        <f>_dat80[[#This Row],[S0]]-AVERAGE($R$2:$R$5)</f>
        <v>3.2954640972867329E-2</v>
      </c>
    </row>
    <row r="271" spans="1:19" x14ac:dyDescent="0.35">
      <c r="A271">
        <v>2017</v>
      </c>
      <c r="B271" s="1">
        <f>DATE(_dat80[[#This Row],[Year]],_dat80[[#This Row],[Quarter]]*3-1,15)</f>
        <v>42870</v>
      </c>
      <c r="C271" s="2">
        <f>_dat80[[#This Row],[Year]]+(_dat80[[#This Row],[Quarter]]-1)/4+1/8</f>
        <v>2017.375</v>
      </c>
      <c r="D271" s="2">
        <f>_dat80[[#This Row],[DecDate]]^2</f>
        <v>4069801.890625</v>
      </c>
      <c r="E271">
        <v>2</v>
      </c>
      <c r="F271">
        <v>1315</v>
      </c>
      <c r="G271">
        <f>LN(_dat80[[#This Row],[Expenditure]])</f>
        <v>7.1815919446118652</v>
      </c>
      <c r="H271">
        <f>_dat80[[#This Row],[LOG(Expenditure 80)]]-G270</f>
        <v>-3.2912469539278177E-2</v>
      </c>
      <c r="I271">
        <f>(1+(_dat80[[#This Row],[Expenditure]]-F270)/F270)^12-1</f>
        <v>-0.32628602964533993</v>
      </c>
      <c r="J271" s="2">
        <f>$W$17+$W$18*_dat80[[#This Row],[DecDate]]</f>
        <v>1310.3767166884518</v>
      </c>
      <c r="K271" s="2">
        <f>$W$40+$W$41*_dat80[[#This Row],[DecDate]]+_dat80[[#This Row],[DecDate^2]]*$W$42</f>
        <v>1327.4813512515684</v>
      </c>
      <c r="L271" s="2">
        <f>$AG$17+_dat80[[#This Row],[DecDate]]*$AG$18</f>
        <v>7.1908431777558901</v>
      </c>
      <c r="M271" s="2">
        <f>$AG$40+$AG$41*_dat80[[#This Row],[DecDate]]+_dat80[[#This Row],[DecDate^2]]*$AG$42</f>
        <v>7.1912767008621543</v>
      </c>
      <c r="N271" s="2">
        <f>_dat80[[#This Row],[LOG(Expenditure 80)]]-_dat80[[#This Row],[Linear Trend LOG]]</f>
        <v>-9.251233144024873E-3</v>
      </c>
      <c r="O271" s="2">
        <f t="shared" si="4"/>
        <v>-5.6865578855525454E-3</v>
      </c>
      <c r="P271" s="2">
        <f>_dat80[[#This Row],[Cycle 80]]+_dat80[[#This Row],[Linear Trend LOG]]</f>
        <v>7.1851566198703374</v>
      </c>
      <c r="Q271" s="2">
        <f>_dat80[[#This Row],[Detrend(Linear)]]-_dat80[[#This Row],[Cycle 80]]</f>
        <v>-3.5646752584723275E-3</v>
      </c>
      <c r="R271" s="2">
        <f>AVERAGEIF(_dat80[Quarter],_dat80[[#This Row],[Quarter]],_dat80[High Frequency])</f>
        <v>-7.1142253495101353E-3</v>
      </c>
      <c r="S271" s="2">
        <f>_dat80[[#This Row],[S0]]-AVERAGE($R$2:$R$5)</f>
        <v>-7.1690436126600685E-3</v>
      </c>
    </row>
    <row r="272" spans="1:19" x14ac:dyDescent="0.35">
      <c r="A272">
        <v>2017</v>
      </c>
      <c r="B272" s="1">
        <f>DATE(_dat80[[#This Row],[Year]],_dat80[[#This Row],[Quarter]]*3-1,15)</f>
        <v>42962</v>
      </c>
      <c r="C272" s="2">
        <f>_dat80[[#This Row],[Year]]+(_dat80[[#This Row],[Quarter]]-1)/4+1/8</f>
        <v>2017.625</v>
      </c>
      <c r="D272" s="2">
        <f>_dat80[[#This Row],[DecDate]]^2</f>
        <v>4070810.640625</v>
      </c>
      <c r="E272">
        <v>3</v>
      </c>
      <c r="F272">
        <v>1343</v>
      </c>
      <c r="G272">
        <f>LN(_dat80[[#This Row],[Expenditure]])</f>
        <v>7.2026611965232377</v>
      </c>
      <c r="H272">
        <f>_dat80[[#This Row],[LOG(Expenditure 80)]]-G271</f>
        <v>2.1069251911372433E-2</v>
      </c>
      <c r="I272">
        <f>(1+(_dat80[[#This Row],[Expenditure]]-F271)/F271)^12-1</f>
        <v>0.287665672485935</v>
      </c>
      <c r="J272" s="2">
        <f>$W$17+$W$18*_dat80[[#This Row],[DecDate]]</f>
        <v>1312.3009361731129</v>
      </c>
      <c r="K272" s="2">
        <f>$W$40+$W$41*_dat80[[#This Row],[DecDate]]+_dat80[[#This Row],[DecDate^2]]*$W$42</f>
        <v>1329.8648037145031</v>
      </c>
      <c r="L272" s="2">
        <f>$AG$17+_dat80[[#This Row],[DecDate]]*$AG$18</f>
        <v>7.1926585519282673</v>
      </c>
      <c r="M272" s="2">
        <f>$AG$40+$AG$41*_dat80[[#This Row],[DecDate]]+_dat80[[#This Row],[DecDate^2]]*$AG$42</f>
        <v>7.1931037144593013</v>
      </c>
      <c r="N272" s="2">
        <f>_dat80[[#This Row],[LOG(Expenditure 80)]]-_dat80[[#This Row],[Linear Trend LOG]]</f>
        <v>1.0002644594970356E-2</v>
      </c>
      <c r="O272" s="2">
        <f t="shared" si="4"/>
        <v>6.2445113907365624E-3</v>
      </c>
      <c r="P272" s="2">
        <f>_dat80[[#This Row],[Cycle 80]]+_dat80[[#This Row],[Linear Trend LOG]]</f>
        <v>7.1989030633190039</v>
      </c>
      <c r="Q272" s="2">
        <f>_dat80[[#This Row],[Detrend(Linear)]]-_dat80[[#This Row],[Cycle 80]]</f>
        <v>3.7581332042337934E-3</v>
      </c>
      <c r="R272" s="2">
        <f>AVERAGEIF(_dat80[Quarter],_dat80[[#This Row],[Quarter]],_dat80[High Frequency])</f>
        <v>3.946848336706609E-3</v>
      </c>
      <c r="S272" s="2">
        <f>_dat80[[#This Row],[S0]]-AVERAGE($R$2:$R$5)</f>
        <v>3.8920300735566758E-3</v>
      </c>
    </row>
    <row r="273" spans="1:19" x14ac:dyDescent="0.35">
      <c r="A273">
        <v>2017</v>
      </c>
      <c r="B273" s="1">
        <f>DATE(_dat80[[#This Row],[Year]],_dat80[[#This Row],[Quarter]]*3-1,15)</f>
        <v>43054</v>
      </c>
      <c r="C273" s="2">
        <f>_dat80[[#This Row],[Year]]+(_dat80[[#This Row],[Quarter]]-1)/4+1/8</f>
        <v>2017.875</v>
      </c>
      <c r="D273" s="2">
        <f>_dat80[[#This Row],[DecDate]]^2</f>
        <v>4071819.515625</v>
      </c>
      <c r="E273">
        <v>4</v>
      </c>
      <c r="F273">
        <v>1304</v>
      </c>
      <c r="G273">
        <f>LN(_dat80[[#This Row],[Expenditure]])</f>
        <v>7.1731917424865985</v>
      </c>
      <c r="H273">
        <f>_dat80[[#This Row],[LOG(Expenditure 80)]]-G272</f>
        <v>-2.9469454036639142E-2</v>
      </c>
      <c r="I273">
        <f>(1+(_dat80[[#This Row],[Expenditure]]-F272)/F272)^12-1</f>
        <v>-0.29786771212242824</v>
      </c>
      <c r="J273" s="2">
        <f>$W$17+$W$18*_dat80[[#This Row],[DecDate]]</f>
        <v>1314.2251556577721</v>
      </c>
      <c r="K273" s="2">
        <f>$W$40+$W$41*_dat80[[#This Row],[DecDate]]+_dat80[[#This Row],[DecDate^2]]*$W$42</f>
        <v>1332.2518439351261</v>
      </c>
      <c r="L273" s="2">
        <f>$AG$17+_dat80[[#This Row],[DecDate]]*$AG$18</f>
        <v>7.1944739261006427</v>
      </c>
      <c r="M273" s="2">
        <f>$AG$40+$AG$41*_dat80[[#This Row],[DecDate]]+_dat80[[#This Row],[DecDate^2]]*$AG$42</f>
        <v>7.1949308189894561</v>
      </c>
      <c r="N273" s="2">
        <f>_dat80[[#This Row],[LOG(Expenditure 80)]]-_dat80[[#This Row],[Linear Trend LOG]]</f>
        <v>-2.1282183614044214E-2</v>
      </c>
      <c r="O273" s="2">
        <f t="shared" si="4"/>
        <v>1.1509863129095521E-4</v>
      </c>
      <c r="P273" s="2">
        <f>_dat80[[#This Row],[Cycle 80]]+_dat80[[#This Row],[Linear Trend LOG]]</f>
        <v>7.1945890247319335</v>
      </c>
      <c r="Q273" s="2">
        <f>_dat80[[#This Row],[Detrend(Linear)]]-_dat80[[#This Row],[Cycle 80]]</f>
        <v>-2.1397282245335169E-2</v>
      </c>
      <c r="R273" s="2">
        <f>AVERAGEIF(_dat80[Quarter],_dat80[[#This Row],[Quarter]],_dat80[High Frequency])</f>
        <v>-2.9622809170614002E-2</v>
      </c>
      <c r="S273" s="2">
        <f>_dat80[[#This Row],[S0]]-AVERAGE($R$2:$R$5)</f>
        <v>-2.9677627433763936E-2</v>
      </c>
    </row>
    <row r="274" spans="1:19" x14ac:dyDescent="0.35">
      <c r="A274">
        <v>2018</v>
      </c>
      <c r="B274" s="1">
        <f>DATE(_dat80[[#This Row],[Year]],_dat80[[#This Row],[Quarter]]*3-1,15)</f>
        <v>43146</v>
      </c>
      <c r="C274" s="2">
        <f>_dat80[[#This Row],[Year]]+(_dat80[[#This Row],[Quarter]]-1)/4+1/8</f>
        <v>2018.125</v>
      </c>
      <c r="D274" s="2">
        <f>_dat80[[#This Row],[DecDate]]^2</f>
        <v>4072828.515625</v>
      </c>
      <c r="E274">
        <v>1</v>
      </c>
      <c r="F274">
        <v>1370</v>
      </c>
      <c r="G274">
        <f>LN(_dat80[[#This Row],[Expenditure]])</f>
        <v>7.222566018822171</v>
      </c>
      <c r="H274">
        <f>_dat80[[#This Row],[LOG(Expenditure 80)]]-G273</f>
        <v>4.9374276335572453E-2</v>
      </c>
      <c r="I274">
        <f>(1+(_dat80[[#This Row],[Expenditure]]-F273)/F273)^12-1</f>
        <v>0.80848832366877166</v>
      </c>
      <c r="J274" s="2">
        <f>$W$17+$W$18*_dat80[[#This Row],[DecDate]]</f>
        <v>1316.1493751424314</v>
      </c>
      <c r="K274" s="2">
        <f>$W$40+$W$41*_dat80[[#This Row],[DecDate]]+_dat80[[#This Row],[DecDate^2]]*$W$42</f>
        <v>1334.6424719133793</v>
      </c>
      <c r="L274" s="2">
        <f>$AG$17+_dat80[[#This Row],[DecDate]]*$AG$18</f>
        <v>7.1962893002730199</v>
      </c>
      <c r="M274" s="2">
        <f>$AG$40+$AG$41*_dat80[[#This Row],[DecDate]]+_dat80[[#This Row],[DecDate^2]]*$AG$42</f>
        <v>7.1967580144526178</v>
      </c>
      <c r="N274" s="2">
        <f>_dat80[[#This Row],[LOG(Expenditure 80)]]-_dat80[[#This Row],[Linear Trend LOG]]</f>
        <v>2.6276718549151035E-2</v>
      </c>
      <c r="O274" s="2">
        <f t="shared" si="4"/>
        <v>4.4402292366092057E-3</v>
      </c>
      <c r="P274" s="2">
        <f>_dat80[[#This Row],[Cycle 80]]+_dat80[[#This Row],[Linear Trend LOG]]</f>
        <v>7.200729529509629</v>
      </c>
      <c r="Q274" s="2">
        <f>_dat80[[#This Row],[Detrend(Linear)]]-_dat80[[#This Row],[Cycle 80]]</f>
        <v>2.183648931254183E-2</v>
      </c>
      <c r="R274" s="2">
        <f>AVERAGEIF(_dat80[Quarter],_dat80[[#This Row],[Quarter]],_dat80[High Frequency])</f>
        <v>3.3009459236017259E-2</v>
      </c>
      <c r="S274" s="2">
        <f>_dat80[[#This Row],[S0]]-AVERAGE($R$2:$R$5)</f>
        <v>3.2954640972867329E-2</v>
      </c>
    </row>
    <row r="275" spans="1:19" x14ac:dyDescent="0.35">
      <c r="A275">
        <v>2018</v>
      </c>
      <c r="B275" s="1">
        <f>DATE(_dat80[[#This Row],[Year]],_dat80[[#This Row],[Quarter]]*3-1,15)</f>
        <v>43235</v>
      </c>
      <c r="C275" s="2">
        <f>_dat80[[#This Row],[Year]]+(_dat80[[#This Row],[Quarter]]-1)/4+1/8</f>
        <v>2018.375</v>
      </c>
      <c r="D275" s="2">
        <f>_dat80[[#This Row],[DecDate]]^2</f>
        <v>4073837.640625</v>
      </c>
      <c r="E275">
        <v>2</v>
      </c>
      <c r="F275">
        <v>1330</v>
      </c>
      <c r="G275">
        <f>LN(_dat80[[#This Row],[Expenditure]])</f>
        <v>7.1929342212157996</v>
      </c>
      <c r="H275">
        <f>_dat80[[#This Row],[LOG(Expenditure 80)]]-G274</f>
        <v>-2.9631797606371357E-2</v>
      </c>
      <c r="I275">
        <f>(1+(_dat80[[#This Row],[Expenditure]]-F274)/F274)^12-1</f>
        <v>-0.29923422057154692</v>
      </c>
      <c r="J275" s="2">
        <f>$W$17+$W$18*_dat80[[#This Row],[DecDate]]</f>
        <v>1318.0735946270906</v>
      </c>
      <c r="K275" s="2">
        <f>$W$40+$W$41*_dat80[[#This Row],[DecDate]]+_dat80[[#This Row],[DecDate^2]]*$W$42</f>
        <v>1337.0366876492772</v>
      </c>
      <c r="L275" s="2">
        <f>$AG$17+_dat80[[#This Row],[DecDate]]*$AG$18</f>
        <v>7.1981046744453971</v>
      </c>
      <c r="M275" s="2">
        <f>$AG$40+$AG$41*_dat80[[#This Row],[DecDate]]+_dat80[[#This Row],[DecDate^2]]*$AG$42</f>
        <v>7.1985853008487846</v>
      </c>
      <c r="N275" s="2">
        <f>_dat80[[#This Row],[LOG(Expenditure 80)]]-_dat80[[#This Row],[Linear Trend LOG]]</f>
        <v>-5.170453229597527E-3</v>
      </c>
      <c r="O275" s="2">
        <f t="shared" si="4"/>
        <v>-2.0457903396080114E-3</v>
      </c>
      <c r="P275" s="2">
        <f>_dat80[[#This Row],[Cycle 80]]+_dat80[[#This Row],[Linear Trend LOG]]</f>
        <v>7.1960588841057893</v>
      </c>
      <c r="Q275" s="2">
        <f>_dat80[[#This Row],[Detrend(Linear)]]-_dat80[[#This Row],[Cycle 80]]</f>
        <v>-3.1246628899895155E-3</v>
      </c>
      <c r="R275" s="2">
        <f>AVERAGEIF(_dat80[Quarter],_dat80[[#This Row],[Quarter]],_dat80[High Frequency])</f>
        <v>-7.1142253495101353E-3</v>
      </c>
      <c r="S275" s="2">
        <f>_dat80[[#This Row],[S0]]-AVERAGE($R$2:$R$5)</f>
        <v>-7.1690436126600685E-3</v>
      </c>
    </row>
    <row r="276" spans="1:19" x14ac:dyDescent="0.35">
      <c r="A276">
        <v>2018</v>
      </c>
      <c r="B276" s="1">
        <f>DATE(_dat80[[#This Row],[Year]],_dat80[[#This Row],[Quarter]]*3-1,15)</f>
        <v>43327</v>
      </c>
      <c r="C276" s="2">
        <f>_dat80[[#This Row],[Year]]+(_dat80[[#This Row],[Quarter]]-1)/4+1/8</f>
        <v>2018.625</v>
      </c>
      <c r="D276" s="2">
        <f>_dat80[[#This Row],[DecDate]]^2</f>
        <v>4074846.890625</v>
      </c>
      <c r="E276">
        <v>3</v>
      </c>
      <c r="F276">
        <v>1356</v>
      </c>
      <c r="G276">
        <f>LN(_dat80[[#This Row],[Expenditure]])</f>
        <v>7.2122944685003407</v>
      </c>
      <c r="H276">
        <f>_dat80[[#This Row],[LOG(Expenditure 80)]]-G275</f>
        <v>1.936024728454111E-2</v>
      </c>
      <c r="I276">
        <f>(1+(_dat80[[#This Row],[Expenditure]]-F275)/F275)^12-1</f>
        <v>0.26152709518600781</v>
      </c>
      <c r="J276" s="2">
        <f>$W$17+$W$18*_dat80[[#This Row],[DecDate]]</f>
        <v>1319.9978141117499</v>
      </c>
      <c r="K276" s="2">
        <f>$W$40+$W$41*_dat80[[#This Row],[DecDate]]+_dat80[[#This Row],[DecDate^2]]*$W$42</f>
        <v>1339.4344911428198</v>
      </c>
      <c r="L276" s="2">
        <f>$AG$17+_dat80[[#This Row],[DecDate]]*$AG$18</f>
        <v>7.1999200486177743</v>
      </c>
      <c r="M276" s="2">
        <f>$AG$40+$AG$41*_dat80[[#This Row],[DecDate]]+_dat80[[#This Row],[DecDate^2]]*$AG$42</f>
        <v>7.2004126781779583</v>
      </c>
      <c r="N276" s="2">
        <f>_dat80[[#This Row],[LOG(Expenditure 80)]]-_dat80[[#This Row],[Linear Trend LOG]]</f>
        <v>1.2374419882566379E-2</v>
      </c>
      <c r="O276" s="2">
        <f t="shared" si="4"/>
        <v>8.1915707149832432E-3</v>
      </c>
      <c r="P276" s="2">
        <f>_dat80[[#This Row],[Cycle 80]]+_dat80[[#This Row],[Linear Trend LOG]]</f>
        <v>7.2081116193327572</v>
      </c>
      <c r="Q276" s="2">
        <f>_dat80[[#This Row],[Detrend(Linear)]]-_dat80[[#This Row],[Cycle 80]]</f>
        <v>4.1828491675831355E-3</v>
      </c>
      <c r="R276" s="2">
        <f>AVERAGEIF(_dat80[Quarter],_dat80[[#This Row],[Quarter]],_dat80[High Frequency])</f>
        <v>3.946848336706609E-3</v>
      </c>
      <c r="S276" s="2">
        <f>_dat80[[#This Row],[S0]]-AVERAGE($R$2:$R$5)</f>
        <v>3.8920300735566758E-3</v>
      </c>
    </row>
    <row r="277" spans="1:19" x14ac:dyDescent="0.35">
      <c r="A277">
        <v>2018</v>
      </c>
      <c r="B277" s="1">
        <f>DATE(_dat80[[#This Row],[Year]],_dat80[[#This Row],[Quarter]]*3-1,15)</f>
        <v>43419</v>
      </c>
      <c r="C277" s="2">
        <f>_dat80[[#This Row],[Year]]+(_dat80[[#This Row],[Quarter]]-1)/4+1/8</f>
        <v>2018.875</v>
      </c>
      <c r="D277" s="2">
        <f>_dat80[[#This Row],[DecDate]]^2</f>
        <v>4075856.265625</v>
      </c>
      <c r="E277">
        <v>4</v>
      </c>
      <c r="F277">
        <v>1312</v>
      </c>
      <c r="G277">
        <f>LN(_dat80[[#This Row],[Expenditure]])</f>
        <v>7.179307969504034</v>
      </c>
      <c r="H277">
        <f>_dat80[[#This Row],[LOG(Expenditure 80)]]-G276</f>
        <v>-3.2986498996306679E-2</v>
      </c>
      <c r="I277">
        <f>(1+(_dat80[[#This Row],[Expenditure]]-F276)/F276)^12-1</f>
        <v>-0.32688426003897841</v>
      </c>
      <c r="J277" s="2">
        <f>$W$17+$W$18*_dat80[[#This Row],[DecDate]]</f>
        <v>1321.9220335964092</v>
      </c>
      <c r="K277" s="2">
        <f>$W$40+$W$41*_dat80[[#This Row],[DecDate]]+_dat80[[#This Row],[DecDate^2]]*$W$42</f>
        <v>1341.835882393978</v>
      </c>
      <c r="L277" s="2">
        <f>$AG$17+_dat80[[#This Row],[DecDate]]*$AG$18</f>
        <v>7.2017354227901498</v>
      </c>
      <c r="M277" s="2">
        <f>$AG$40+$AG$41*_dat80[[#This Row],[DecDate]]+_dat80[[#This Row],[DecDate^2]]*$AG$42</f>
        <v>7.2022401464401362</v>
      </c>
      <c r="N277" s="2">
        <f>_dat80[[#This Row],[LOG(Expenditure 80)]]-_dat80[[#This Row],[Linear Trend LOG]]</f>
        <v>-2.2427453286115728E-2</v>
      </c>
      <c r="O277" s="2">
        <f t="shared" si="4"/>
        <v>1.649240915806871E-3</v>
      </c>
      <c r="P277" s="2">
        <f>_dat80[[#This Row],[Cycle 80]]+_dat80[[#This Row],[Linear Trend LOG]]</f>
        <v>7.2033846637059566</v>
      </c>
      <c r="Q277" s="2">
        <f>_dat80[[#This Row],[Detrend(Linear)]]-_dat80[[#This Row],[Cycle 80]]</f>
        <v>-2.4076694201922599E-2</v>
      </c>
      <c r="R277" s="2">
        <f>AVERAGEIF(_dat80[Quarter],_dat80[[#This Row],[Quarter]],_dat80[High Frequency])</f>
        <v>-2.9622809170614002E-2</v>
      </c>
      <c r="S277" s="2">
        <f>_dat80[[#This Row],[S0]]-AVERAGE($R$2:$R$5)</f>
        <v>-2.9677627433763936E-2</v>
      </c>
    </row>
    <row r="278" spans="1:19" x14ac:dyDescent="0.35">
      <c r="A278">
        <v>2019</v>
      </c>
      <c r="B278" s="1">
        <f>DATE(_dat80[[#This Row],[Year]],_dat80[[#This Row],[Quarter]]*3-1,15)</f>
        <v>43511</v>
      </c>
      <c r="C278" s="2">
        <f>_dat80[[#This Row],[Year]]+(_dat80[[#This Row],[Quarter]]-1)/4+1/8</f>
        <v>2019.125</v>
      </c>
      <c r="D278" s="2">
        <f>_dat80[[#This Row],[DecDate]]^2</f>
        <v>4076865.765625</v>
      </c>
      <c r="E278">
        <v>1</v>
      </c>
      <c r="F278">
        <v>1385</v>
      </c>
      <c r="G278">
        <f>LN(_dat80[[#This Row],[Expenditure]])</f>
        <v>7.233455418621439</v>
      </c>
      <c r="H278">
        <f>_dat80[[#This Row],[LOG(Expenditure 80)]]-G277</f>
        <v>5.4147449117404989E-2</v>
      </c>
      <c r="I278">
        <f>(1+(_dat80[[#This Row],[Expenditure]]-F277)/F277)^12-1</f>
        <v>0.91509913594246006</v>
      </c>
      <c r="J278" s="2">
        <f>$W$17+$W$18*_dat80[[#This Row],[DecDate]]</f>
        <v>1323.8462530810684</v>
      </c>
      <c r="K278" s="2">
        <f>$W$40+$W$41*_dat80[[#This Row],[DecDate]]+_dat80[[#This Row],[DecDate^2]]*$W$42</f>
        <v>1344.24086140281</v>
      </c>
      <c r="L278" s="2">
        <f>$AG$17+_dat80[[#This Row],[DecDate]]*$AG$18</f>
        <v>7.203550796962527</v>
      </c>
      <c r="M278" s="2">
        <f>$AG$40+$AG$41*_dat80[[#This Row],[DecDate]]+_dat80[[#This Row],[DecDate^2]]*$AG$42</f>
        <v>7.2040677056353211</v>
      </c>
      <c r="N278" s="2">
        <f>_dat80[[#This Row],[LOG(Expenditure 80)]]-_dat80[[#This Row],[Linear Trend LOG]]</f>
        <v>2.9904621658912056E-2</v>
      </c>
      <c r="O278" s="2">
        <f t="shared" si="4"/>
        <v>5.1754305264175571E-3</v>
      </c>
      <c r="P278" s="2">
        <f>_dat80[[#This Row],[Cycle 80]]+_dat80[[#This Row],[Linear Trend LOG]]</f>
        <v>7.2087262274889445</v>
      </c>
      <c r="Q278" s="2">
        <f>_dat80[[#This Row],[Detrend(Linear)]]-_dat80[[#This Row],[Cycle 80]]</f>
        <v>2.4729191132494499E-2</v>
      </c>
      <c r="R278" s="2">
        <f>AVERAGEIF(_dat80[Quarter],_dat80[[#This Row],[Quarter]],_dat80[High Frequency])</f>
        <v>3.3009459236017259E-2</v>
      </c>
      <c r="S278" s="2">
        <f>_dat80[[#This Row],[S0]]-AVERAGE($R$2:$R$5)</f>
        <v>3.2954640972867329E-2</v>
      </c>
    </row>
    <row r="279" spans="1:19" x14ac:dyDescent="0.35">
      <c r="A279">
        <v>2019</v>
      </c>
      <c r="B279" s="1">
        <f>DATE(_dat80[[#This Row],[Year]],_dat80[[#This Row],[Quarter]]*3-1,15)</f>
        <v>43600</v>
      </c>
      <c r="C279" s="2">
        <f>_dat80[[#This Row],[Year]]+(_dat80[[#This Row],[Quarter]]-1)/4+1/8</f>
        <v>2019.375</v>
      </c>
      <c r="D279" s="2">
        <f>_dat80[[#This Row],[DecDate]]^2</f>
        <v>4077875.390625</v>
      </c>
      <c r="E279">
        <v>2</v>
      </c>
      <c r="F279">
        <v>1338</v>
      </c>
      <c r="G279">
        <f>LN(_dat80[[#This Row],[Expenditure]])</f>
        <v>7.1989312406881734</v>
      </c>
      <c r="H279">
        <f>_dat80[[#This Row],[LOG(Expenditure 80)]]-G278</f>
        <v>-3.4524177933265676E-2</v>
      </c>
      <c r="I279">
        <f>(1+(_dat80[[#This Row],[Expenditure]]-F278)/F278)^12-1</f>
        <v>-0.33919080055842066</v>
      </c>
      <c r="J279" s="2">
        <f>$W$17+$W$18*_dat80[[#This Row],[DecDate]]</f>
        <v>1325.7704725657295</v>
      </c>
      <c r="K279" s="2">
        <f>$W$40+$W$41*_dat80[[#This Row],[DecDate]]+_dat80[[#This Row],[DecDate^2]]*$W$42</f>
        <v>1346.6494281692867</v>
      </c>
      <c r="L279" s="2">
        <f>$AG$17+_dat80[[#This Row],[DecDate]]*$AG$18</f>
        <v>7.2053661711349042</v>
      </c>
      <c r="M279" s="2">
        <f>$AG$40+$AG$41*_dat80[[#This Row],[DecDate]]+_dat80[[#This Row],[DecDate^2]]*$AG$42</f>
        <v>7.2058953557635128</v>
      </c>
      <c r="N279" s="2">
        <f>_dat80[[#This Row],[LOG(Expenditure 80)]]-_dat80[[#This Row],[Linear Trend LOG]]</f>
        <v>-6.4349304467308244E-3</v>
      </c>
      <c r="O279" s="2">
        <f t="shared" si="4"/>
        <v>-1.869976441562038E-3</v>
      </c>
      <c r="P279" s="2">
        <f>_dat80[[#This Row],[Cycle 80]]+_dat80[[#This Row],[Linear Trend LOG]]</f>
        <v>7.2034961946933418</v>
      </c>
      <c r="Q279" s="2">
        <f>_dat80[[#This Row],[Detrend(Linear)]]-_dat80[[#This Row],[Cycle 80]]</f>
        <v>-4.5649540051687868E-3</v>
      </c>
      <c r="R279" s="2">
        <f>AVERAGEIF(_dat80[Quarter],_dat80[[#This Row],[Quarter]],_dat80[High Frequency])</f>
        <v>-7.1142253495101353E-3</v>
      </c>
      <c r="S279" s="2">
        <f>_dat80[[#This Row],[S0]]-AVERAGE($R$2:$R$5)</f>
        <v>-7.1690436126600685E-3</v>
      </c>
    </row>
    <row r="280" spans="1:19" x14ac:dyDescent="0.35">
      <c r="A280">
        <v>2019</v>
      </c>
      <c r="B280" s="1">
        <f>DATE(_dat80[[#This Row],[Year]],_dat80[[#This Row],[Quarter]]*3-1,15)</f>
        <v>43692</v>
      </c>
      <c r="C280" s="2">
        <f>_dat80[[#This Row],[Year]]+(_dat80[[#This Row],[Quarter]]-1)/4+1/8</f>
        <v>2019.625</v>
      </c>
      <c r="D280" s="2">
        <f>_dat80[[#This Row],[DecDate]]^2</f>
        <v>4078885.140625</v>
      </c>
      <c r="E280">
        <v>3</v>
      </c>
      <c r="F280">
        <v>1366</v>
      </c>
      <c r="G280">
        <f>LN(_dat80[[#This Row],[Expenditure]])</f>
        <v>7.2196420401307355</v>
      </c>
      <c r="H280">
        <f>_dat80[[#This Row],[LOG(Expenditure 80)]]-G279</f>
        <v>2.0710799442562156E-2</v>
      </c>
      <c r="I280">
        <f>(1+(_dat80[[#This Row],[Expenditure]]-F279)/F279)^12-1</f>
        <v>0.28213876453876052</v>
      </c>
      <c r="J280" s="2">
        <f>$W$17+$W$18*_dat80[[#This Row],[DecDate]]</f>
        <v>1327.6946920503888</v>
      </c>
      <c r="K280" s="2">
        <f>$W$40+$W$41*_dat80[[#This Row],[DecDate]]+_dat80[[#This Row],[DecDate^2]]*$W$42</f>
        <v>1349.0615826934081</v>
      </c>
      <c r="L280" s="2">
        <f>$AG$17+_dat80[[#This Row],[DecDate]]*$AG$18</f>
        <v>7.2071815453072796</v>
      </c>
      <c r="M280" s="2">
        <f>$AG$40+$AG$41*_dat80[[#This Row],[DecDate]]+_dat80[[#This Row],[DecDate^2]]*$AG$42</f>
        <v>7.2077230968247097</v>
      </c>
      <c r="N280" s="2">
        <f>_dat80[[#This Row],[LOG(Expenditure 80)]]-_dat80[[#This Row],[Linear Trend LOG]]</f>
        <v>1.2460494823455903E-2</v>
      </c>
      <c r="O280" s="2">
        <f t="shared" si="4"/>
        <v>9.2985586059242571E-3</v>
      </c>
      <c r="P280" s="2">
        <f>_dat80[[#This Row],[Cycle 80]]+_dat80[[#This Row],[Linear Trend LOG]]</f>
        <v>7.216480103913204</v>
      </c>
      <c r="Q280" s="2">
        <f>_dat80[[#This Row],[Detrend(Linear)]]-_dat80[[#This Row],[Cycle 80]]</f>
        <v>3.1619362175316461E-3</v>
      </c>
      <c r="R280" s="2">
        <f>AVERAGEIF(_dat80[Quarter],_dat80[[#This Row],[Quarter]],_dat80[High Frequency])</f>
        <v>3.946848336706609E-3</v>
      </c>
      <c r="S280" s="2">
        <f>_dat80[[#This Row],[S0]]-AVERAGE($R$2:$R$5)</f>
        <v>3.8920300735566758E-3</v>
      </c>
    </row>
    <row r="281" spans="1:19" x14ac:dyDescent="0.35">
      <c r="A281">
        <v>2019</v>
      </c>
      <c r="B281" s="1">
        <f>DATE(_dat80[[#This Row],[Year]],_dat80[[#This Row],[Quarter]]*3-1,15)</f>
        <v>43784</v>
      </c>
      <c r="C281" s="2">
        <f>_dat80[[#This Row],[Year]]+(_dat80[[#This Row],[Quarter]]-1)/4+1/8</f>
        <v>2019.875</v>
      </c>
      <c r="D281" s="2">
        <f>_dat80[[#This Row],[DecDate]]^2</f>
        <v>4079895.015625</v>
      </c>
      <c r="E281">
        <v>4</v>
      </c>
      <c r="F281">
        <v>1321</v>
      </c>
      <c r="G281">
        <f>LN(_dat80[[#This Row],[Expenditure]])</f>
        <v>7.1861443045223252</v>
      </c>
      <c r="H281">
        <f>_dat80[[#This Row],[LOG(Expenditure 80)]]-G280</f>
        <v>-3.3497735608410295E-2</v>
      </c>
      <c r="I281">
        <f>(1+(_dat80[[#This Row],[Expenditure]]-F280)/F280)^12-1</f>
        <v>-0.33100107605018547</v>
      </c>
      <c r="J281" s="2">
        <f>$W$17+$W$18*_dat80[[#This Row],[DecDate]]</f>
        <v>1329.618911535048</v>
      </c>
      <c r="K281" s="2">
        <f>$W$40+$W$41*_dat80[[#This Row],[DecDate]]+_dat80[[#This Row],[DecDate^2]]*$W$42</f>
        <v>1351.4773249751306</v>
      </c>
      <c r="L281" s="2">
        <f>$AG$17+_dat80[[#This Row],[DecDate]]*$AG$18</f>
        <v>7.2089969194796568</v>
      </c>
      <c r="M281" s="2">
        <f>$AG$40+$AG$41*_dat80[[#This Row],[DecDate]]+_dat80[[#This Row],[DecDate^2]]*$AG$42</f>
        <v>7.2095509288189135</v>
      </c>
      <c r="N281" s="2">
        <f>_dat80[[#This Row],[LOG(Expenditure 80)]]-_dat80[[#This Row],[Linear Trend LOG]]</f>
        <v>-2.2852614957331596E-2</v>
      </c>
      <c r="O281" s="2">
        <f t="shared" si="4"/>
        <v>1.9191359913323324E-3</v>
      </c>
      <c r="P281" s="2">
        <f>_dat80[[#This Row],[Cycle 80]]+_dat80[[#This Row],[Linear Trend LOG]]</f>
        <v>7.2109160554709888</v>
      </c>
      <c r="Q281" s="2">
        <f>_dat80[[#This Row],[Detrend(Linear)]]-_dat80[[#This Row],[Cycle 80]]</f>
        <v>-2.4771750948663927E-2</v>
      </c>
      <c r="R281" s="2">
        <f>AVERAGEIF(_dat80[Quarter],_dat80[[#This Row],[Quarter]],_dat80[High Frequency])</f>
        <v>-2.9622809170614002E-2</v>
      </c>
      <c r="S281" s="2">
        <f>_dat80[[#This Row],[S0]]-AVERAGE($R$2:$R$5)</f>
        <v>-2.9677627433763936E-2</v>
      </c>
    </row>
    <row r="282" spans="1:19" x14ac:dyDescent="0.35">
      <c r="A282">
        <v>2020</v>
      </c>
      <c r="B282" s="1">
        <f>DATE(_dat80[[#This Row],[Year]],_dat80[[#This Row],[Quarter]]*3-1,15)</f>
        <v>43876</v>
      </c>
      <c r="C282" s="2">
        <f>_dat80[[#This Row],[Year]]+(_dat80[[#This Row],[Quarter]]-1)/4+1/8</f>
        <v>2020.125</v>
      </c>
      <c r="D282" s="2">
        <f>_dat80[[#This Row],[DecDate]]^2</f>
        <v>4080905.015625</v>
      </c>
      <c r="E282">
        <v>1</v>
      </c>
      <c r="F282">
        <v>1400</v>
      </c>
      <c r="G282">
        <f>LN(_dat80[[#This Row],[Expenditure]])</f>
        <v>7.2442275156033498</v>
      </c>
      <c r="H282">
        <f>_dat80[[#This Row],[LOG(Expenditure 80)]]-G281</f>
        <v>5.8083211081024544E-2</v>
      </c>
      <c r="I282">
        <f>(1+(_dat80[[#This Row],[Expenditure]]-F281)/F281)^12-1</f>
        <v>1.0077175568007153</v>
      </c>
      <c r="J282" s="2">
        <f>$W$17+$W$18*_dat80[[#This Row],[DecDate]]</f>
        <v>1331.5431310197073</v>
      </c>
      <c r="K282" s="2">
        <f>$W$40+$W$41*_dat80[[#This Row],[DecDate]]+_dat80[[#This Row],[DecDate^2]]*$W$42</f>
        <v>1353.8966550145415</v>
      </c>
      <c r="L282" s="2">
        <f>$AG$17+_dat80[[#This Row],[DecDate]]*$AG$18</f>
        <v>7.210812293652034</v>
      </c>
      <c r="M282" s="2">
        <f>$AG$40+$AG$41*_dat80[[#This Row],[DecDate]]+_dat80[[#This Row],[DecDate^2]]*$AG$42</f>
        <v>7.2113788517461224</v>
      </c>
      <c r="N282" s="2">
        <f>_dat80[[#This Row],[LOG(Expenditure 80)]]-_dat80[[#This Row],[Linear Trend LOG]]</f>
        <v>3.3415221951315743E-2</v>
      </c>
      <c r="O282" s="2">
        <f t="shared" si="4"/>
        <v>5.2681948349153629E-3</v>
      </c>
      <c r="P282" s="2">
        <f>_dat80[[#This Row],[Cycle 80]]+_dat80[[#This Row],[Linear Trend LOG]]</f>
        <v>7.2160804884869494</v>
      </c>
      <c r="Q282" s="2">
        <f>_dat80[[#This Row],[Detrend(Linear)]]-_dat80[[#This Row],[Cycle 80]]</f>
        <v>2.814702711640038E-2</v>
      </c>
      <c r="R282" s="2">
        <f>AVERAGEIF(_dat80[Quarter],_dat80[[#This Row],[Quarter]],_dat80[High Frequency])</f>
        <v>3.3009459236017259E-2</v>
      </c>
      <c r="S282" s="2">
        <f>_dat80[[#This Row],[S0]]-AVERAGE($R$2:$R$5)</f>
        <v>3.2954640972867329E-2</v>
      </c>
    </row>
    <row r="283" spans="1:19" x14ac:dyDescent="0.35">
      <c r="A283">
        <v>2020</v>
      </c>
      <c r="B283" s="1">
        <f>DATE(_dat80[[#This Row],[Year]],_dat80[[#This Row],[Quarter]]*3-1,15)</f>
        <v>43966</v>
      </c>
      <c r="C283" s="2">
        <f>_dat80[[#This Row],[Year]]+(_dat80[[#This Row],[Quarter]]-1)/4+1/8</f>
        <v>2020.375</v>
      </c>
      <c r="D283" s="2">
        <f>_dat80[[#This Row],[DecDate]]^2</f>
        <v>4081915.140625</v>
      </c>
      <c r="E283">
        <v>2</v>
      </c>
      <c r="F283">
        <v>1347</v>
      </c>
      <c r="G283">
        <f>LN(_dat80[[#This Row],[Expenditure]])</f>
        <v>7.2056351764103637</v>
      </c>
      <c r="H283">
        <f>_dat80[[#This Row],[LOG(Expenditure 80)]]-G282</f>
        <v>-3.8592339192986103E-2</v>
      </c>
      <c r="I283">
        <f>(1+(_dat80[[#This Row],[Expenditure]]-F282)/F282)^12-1</f>
        <v>-0.37067538247714771</v>
      </c>
      <c r="J283" s="2">
        <f>$W$17+$W$18*_dat80[[#This Row],[DecDate]]</f>
        <v>1333.4673505043666</v>
      </c>
      <c r="K283" s="2">
        <f>$W$40+$W$41*_dat80[[#This Row],[DecDate]]+_dat80[[#This Row],[DecDate^2]]*$W$42</f>
        <v>1356.3195728115825</v>
      </c>
      <c r="L283" s="2">
        <f>$AG$17+_dat80[[#This Row],[DecDate]]*$AG$18</f>
        <v>7.2126276678244112</v>
      </c>
      <c r="M283" s="2">
        <f>$AG$40+$AG$41*_dat80[[#This Row],[DecDate]]+_dat80[[#This Row],[DecDate^2]]*$AG$42</f>
        <v>7.2132068656063382</v>
      </c>
      <c r="N283" s="2">
        <f>_dat80[[#This Row],[LOG(Expenditure 80)]]-_dat80[[#This Row],[Linear Trend LOG]]</f>
        <v>-6.9924914140475636E-3</v>
      </c>
      <c r="O283" s="2">
        <f t="shared" si="4"/>
        <v>-2.6420396795440839E-3</v>
      </c>
      <c r="P283" s="2">
        <f>_dat80[[#This Row],[Cycle 80]]+_dat80[[#This Row],[Linear Trend LOG]]</f>
        <v>7.2099856281448673</v>
      </c>
      <c r="Q283" s="2">
        <f>_dat80[[#This Row],[Detrend(Linear)]]-_dat80[[#This Row],[Cycle 80]]</f>
        <v>-4.3504517345034797E-3</v>
      </c>
      <c r="R283" s="2">
        <f>AVERAGEIF(_dat80[Quarter],_dat80[[#This Row],[Quarter]],_dat80[High Frequency])</f>
        <v>-7.1142253495101353E-3</v>
      </c>
      <c r="S283" s="2">
        <f>_dat80[[#This Row],[S0]]-AVERAGE($R$2:$R$5)</f>
        <v>-7.1690436126600685E-3</v>
      </c>
    </row>
    <row r="284" spans="1:19" x14ac:dyDescent="0.35">
      <c r="A284">
        <v>2020</v>
      </c>
      <c r="B284" s="1">
        <f>DATE(_dat80[[#This Row],[Year]],_dat80[[#This Row],[Quarter]]*3-1,15)</f>
        <v>44058</v>
      </c>
      <c r="C284" s="2">
        <f>_dat80[[#This Row],[Year]]+(_dat80[[#This Row],[Quarter]]-1)/4+1/8</f>
        <v>2020.625</v>
      </c>
      <c r="D284" s="2">
        <f>_dat80[[#This Row],[DecDate]]^2</f>
        <v>4082925.390625</v>
      </c>
      <c r="E284">
        <v>3</v>
      </c>
      <c r="F284">
        <v>1373</v>
      </c>
      <c r="G284">
        <f>LN(_dat80[[#This Row],[Expenditure]])</f>
        <v>7.224753405767971</v>
      </c>
      <c r="H284">
        <f>_dat80[[#This Row],[LOG(Expenditure 80)]]-G283</f>
        <v>1.9118229357607319E-2</v>
      </c>
      <c r="I284">
        <f>(1+(_dat80[[#This Row],[Expenditure]]-F283)/F283)^12-1</f>
        <v>0.25786866412464438</v>
      </c>
      <c r="J284" s="2">
        <f>$W$17+$W$18*_dat80[[#This Row],[DecDate]]</f>
        <v>1335.3915699890258</v>
      </c>
      <c r="K284" s="2">
        <f>$W$40+$W$41*_dat80[[#This Row],[DecDate]]+_dat80[[#This Row],[DecDate^2]]*$W$42</f>
        <v>1358.7460783662682</v>
      </c>
      <c r="L284" s="2">
        <f>$AG$17+_dat80[[#This Row],[DecDate]]*$AG$18</f>
        <v>7.2144430419967867</v>
      </c>
      <c r="M284" s="2">
        <f>$AG$40+$AG$41*_dat80[[#This Row],[DecDate]]+_dat80[[#This Row],[DecDate^2]]*$AG$42</f>
        <v>7.2150349703995591</v>
      </c>
      <c r="N284" s="2">
        <f>_dat80[[#This Row],[LOG(Expenditure 80)]]-_dat80[[#This Row],[Linear Trend LOG]]</f>
        <v>1.0310363771184328E-2</v>
      </c>
      <c r="O284" s="2">
        <f t="shared" si="4"/>
        <v>2.4106041399027944E-3</v>
      </c>
      <c r="P284" s="2">
        <f>_dat80[[#This Row],[Cycle 80]]+_dat80[[#This Row],[Linear Trend LOG]]</f>
        <v>7.2168536461366894</v>
      </c>
      <c r="Q284" s="2">
        <f>_dat80[[#This Row],[Detrend(Linear)]]-_dat80[[#This Row],[Cycle 80]]</f>
        <v>7.8997596312815332E-3</v>
      </c>
      <c r="R284" s="2">
        <f>AVERAGEIF(_dat80[Quarter],_dat80[[#This Row],[Quarter]],_dat80[High Frequency])</f>
        <v>3.946848336706609E-3</v>
      </c>
      <c r="S284" s="2">
        <f>_dat80[[#This Row],[S0]]-AVERAGE($R$2:$R$5)</f>
        <v>3.8920300735566758E-3</v>
      </c>
    </row>
    <row r="285" spans="1:19" x14ac:dyDescent="0.35">
      <c r="A285">
        <v>2020</v>
      </c>
      <c r="B285" s="1">
        <f>DATE(_dat80[[#This Row],[Year]],_dat80[[#This Row],[Quarter]]*3-1,15)</f>
        <v>44150</v>
      </c>
      <c r="C285" s="2">
        <f>_dat80[[#This Row],[Year]]+(_dat80[[#This Row],[Quarter]]-1)/4+1/8</f>
        <v>2020.875</v>
      </c>
      <c r="D285" s="2">
        <f>_dat80[[#This Row],[DecDate]]^2</f>
        <v>4083935.765625</v>
      </c>
      <c r="E285">
        <v>4</v>
      </c>
      <c r="F285">
        <v>1325</v>
      </c>
      <c r="G285">
        <f>LN(_dat80[[#This Row],[Expenditure]])</f>
        <v>7.1891677384203225</v>
      </c>
      <c r="H285">
        <f>_dat80[[#This Row],[LOG(Expenditure 80)]]-G284</f>
        <v>-3.5585667347648453E-2</v>
      </c>
      <c r="I285">
        <f>(1+(_dat80[[#This Row],[Expenditure]]-F284)/F284)^12-1</f>
        <v>-0.34755472182743885</v>
      </c>
      <c r="J285" s="2">
        <f>$W$17+$W$18*_dat80[[#This Row],[DecDate]]</f>
        <v>1337.3157894736851</v>
      </c>
      <c r="K285" s="2">
        <f>$W$40+$W$41*_dat80[[#This Row],[DecDate]]+_dat80[[#This Row],[DecDate^2]]*$W$42</f>
        <v>1361.1761716785986</v>
      </c>
      <c r="L285" s="2">
        <f>$AG$17+_dat80[[#This Row],[DecDate]]*$AG$18</f>
        <v>7.2162584161691639</v>
      </c>
      <c r="M285" s="2">
        <f>$AG$40+$AG$41*_dat80[[#This Row],[DecDate]]+_dat80[[#This Row],[DecDate^2]]*$AG$42</f>
        <v>7.216863166125786</v>
      </c>
      <c r="N285" s="2">
        <f>_dat80[[#This Row],[LOG(Expenditure 80)]]-_dat80[[#This Row],[Linear Trend LOG]]</f>
        <v>-2.709067774884133E-2</v>
      </c>
      <c r="O285" s="2">
        <f t="shared" si="4"/>
        <v>-7.9242684639015213E-3</v>
      </c>
      <c r="P285" s="2">
        <f>_dat80[[#This Row],[Cycle 80]]+_dat80[[#This Row],[Linear Trend LOG]]</f>
        <v>7.208334147705262</v>
      </c>
      <c r="Q285" s="2">
        <f>_dat80[[#This Row],[Detrend(Linear)]]-_dat80[[#This Row],[Cycle 80]]</f>
        <v>-1.916640928493981E-2</v>
      </c>
      <c r="R285" s="2">
        <f>AVERAGEIF(_dat80[Quarter],_dat80[[#This Row],[Quarter]],_dat80[High Frequency])</f>
        <v>-2.9622809170614002E-2</v>
      </c>
      <c r="S285" s="2">
        <f>_dat80[[#This Row],[S0]]-AVERAGE($R$2:$R$5)</f>
        <v>-2.9677627433763936E-2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E64" workbookViewId="0">
      <selection activeCell="T26" sqref="T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8186-443E-46CA-B6DF-A97B4D88C56E}">
  <dimension ref="A1"/>
  <sheetViews>
    <sheetView zoomScaleNormal="100" workbookViewId="0">
      <selection activeCell="E116" sqref="E1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5BC4-7AAC-4A99-AD5B-0EA05885E47A}">
  <dimension ref="A1"/>
  <sheetViews>
    <sheetView tabSelected="1" topLeftCell="A22" workbookViewId="0">
      <selection activeCell="C29" sqref="C29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DEBAA-8D0B-4790-A601-7EF91C332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dat69</vt:lpstr>
      <vt:lpstr>dat80</vt:lpstr>
      <vt:lpstr>Part A</vt:lpstr>
      <vt:lpstr>Part B</vt:lpstr>
      <vt:lpstr>Part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Sun</dc:creator>
  <cp:lastModifiedBy>Henry Sun</cp:lastModifiedBy>
  <dcterms:created xsi:type="dcterms:W3CDTF">2015-06-05T18:17:20Z</dcterms:created>
  <dcterms:modified xsi:type="dcterms:W3CDTF">2021-10-15T16:02:08Z</dcterms:modified>
</cp:coreProperties>
</file>